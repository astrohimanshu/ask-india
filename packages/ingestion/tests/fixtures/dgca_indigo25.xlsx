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<sst xmlns="http://schemas.openxmlformats.org/spreadsheetml/2006/main" count="157" uniqueCount="44">
  <si>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</si>
  <si>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</si>
  <si>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</si>
  <si>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</si>
  <si>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</si>
  <si>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</si>
  <si>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</si>
  <si>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</si>
  <si>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</si>
  <si>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</si>
  <si>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</si>
  <si>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</si>
  <si>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</si>
  <si>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</si>
  <si>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</si>
  <si>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</si>
  <si>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</si>
  <si>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</si>
  <si>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</si>
  <si>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</si>
  <si>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</si>
  <si>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</si>
  <si>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</si>
  <si>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</si>
  <si>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</si>
  <si>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</si>
  <si>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</si>
  <si>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</si>
  <si>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</si>
  <si>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</si>
  <si>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</si>
  <si>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</si>
  <si>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</si>
  <si>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</si>
  <si>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</si>
  <si>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</si>
  <si>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</si>
  <si>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</si>
  <si>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</si>
  <si>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</si>
  <si>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</si>
  <si>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INDIGO</t>
  </si>
  <si>
    <t>2025</t>
  </si>
  <si>
    <t>SOURCE:-ICAO ATR FORM A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</si>
</sst>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" transitionEvaluation="1" transitionEntry="1"/>
  <dimension ref="A1:Q494"/>
  <sheetViews>
    <sheetView showGridLines="0" tabSelected="1" view="pageBreakPreview" topLeftCell="A6" zoomScale="85" zoomScaleNormal="85" zoomScaleSheetLayoutView="85" workbookViewId="0">
      <selection activeCell="E12" sqref="E12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60152</v>
      </c>
      <c r="C4" s="21">
        <v>107177.65</v>
      </c>
      <c r="D4" s="22">
        <v>52567.898000000001</v>
      </c>
      <c r="E4" s="23">
        <v>9614311</v>
      </c>
      <c r="F4" s="21">
        <v>9125277</v>
      </c>
      <c r="G4" s="21">
        <v>10164452</v>
      </c>
      <c r="H4" s="25">
        <v>89.78</v>
      </c>
      <c r="I4" s="26">
        <v>24071.843000000001</v>
      </c>
      <c r="J4" s="27">
        <v>3105.83</v>
      </c>
      <c r="K4" s="25">
        <v>27177.672999999999</v>
      </c>
      <c r="L4" s="26">
        <v>821236.5</v>
      </c>
      <c r="M4" s="27">
        <v>27659.261999999999</v>
      </c>
      <c r="N4" s="27">
        <v>2703.607</v>
      </c>
      <c r="O4" s="25">
        <v>851599.36899999995</v>
      </c>
      <c r="P4" s="27">
        <v>1113222.575</v>
      </c>
      <c r="Q4" s="25">
        <v>76.5</v>
      </c>
    </row>
    <row r="5" spans="1:17" ht="23.1" customHeight="1" x14ac:dyDescent="0.25">
      <c r="A5" s="43" t="s">
        <v>20</v>
      </c>
      <c r="B5" s="64">
        <v>55405</v>
      </c>
      <c r="C5" s="64">
        <v>98513.033333333296</v>
      </c>
      <c r="D5" s="53">
        <v>48288.148999999998</v>
      </c>
      <c r="E5" s="75">
        <v>9015997</v>
      </c>
      <c r="F5" s="64">
        <v>8538835</v>
      </c>
      <c r="G5" s="64">
        <v>9315125</v>
      </c>
      <c r="H5" s="84">
        <v>91.67</v>
      </c>
      <c r="I5" s="93">
        <v>23068.793000000001</v>
      </c>
      <c r="J5" s="102">
        <v>2693.9059999999999</v>
      </c>
      <c r="K5" s="84">
        <v>25762.699000000001</v>
      </c>
      <c r="L5" s="93">
        <v>768364.08400000003</v>
      </c>
      <c r="M5" s="102">
        <v>26525.055</v>
      </c>
      <c r="N5" s="102">
        <v>2374.777</v>
      </c>
      <c r="O5" s="84">
        <v>797263.91599999997</v>
      </c>
      <c r="P5" s="102">
        <v>1022260.228</v>
      </c>
      <c r="Q5" s="84">
        <v>77.989999999999995</v>
      </c>
    </row>
    <row r="6" spans="1:17" ht="23.1" customHeight="1" x14ac:dyDescent="0.25">
      <c r="A6" s="45" t="s">
        <v>21</v>
      </c>
      <c r="B6" s="29">
        <v>61957</v>
      </c>
      <c r="C6" s="29">
        <v>110318.866666667</v>
      </c>
      <c r="D6" s="28">
        <v>54062.758999999998</v>
      </c>
      <c r="E6" s="30">
        <v>9309423</v>
      </c>
      <c r="F6" s="29">
        <v>8798393</v>
      </c>
      <c r="G6" s="29">
        <v>10399246</v>
      </c>
      <c r="H6" s="31">
        <v>84.61</v>
      </c>
      <c r="I6" s="32">
        <v>26716.425999999999</v>
      </c>
      <c r="J6" s="33">
        <v>2568.4299999999998</v>
      </c>
      <c r="K6" s="31">
        <v>29284.856</v>
      </c>
      <c r="L6" s="32">
        <v>791759.58100000001</v>
      </c>
      <c r="M6" s="33">
        <v>30754.293000000001</v>
      </c>
      <c r="N6" s="33">
        <v>2193.076</v>
      </c>
      <c r="O6" s="31">
        <v>824706.95</v>
      </c>
      <c r="P6" s="33">
        <v>1143742.8799999999</v>
      </c>
      <c r="Q6" s="31">
        <v>72.11</v>
      </c>
    </row>
    <row r="7" spans="1:17" ht="23.1" customHeight="1" x14ac:dyDescent="0.25">
      <c r="A7" s="43" t="s">
        <v>22</v>
      </c>
      <c r="B7" s="64">
        <v>59213</v>
      </c>
      <c r="C7" s="64">
        <v>106342.58333333299</v>
      </c>
      <c r="D7" s="53">
        <v>51611.444000000003</v>
      </c>
      <c r="E7" s="75">
        <v>9171560</v>
      </c>
      <c r="F7" s="64">
        <v>8642291</v>
      </c>
      <c r="G7" s="64">
        <v>9942178</v>
      </c>
      <c r="H7" s="84">
        <v>86.93</v>
      </c>
      <c r="I7" s="93">
        <v>26282.994999999999</v>
      </c>
      <c r="J7" s="102">
        <v>2405.6950000000002</v>
      </c>
      <c r="K7" s="84">
        <v>28688.69</v>
      </c>
      <c r="L7" s="93">
        <v>777640.75300000003</v>
      </c>
      <c r="M7" s="102">
        <v>30119.508999999998</v>
      </c>
      <c r="N7" s="102">
        <v>2059.393</v>
      </c>
      <c r="O7" s="84">
        <v>809819.65500000003</v>
      </c>
      <c r="P7" s="102">
        <v>1107597.9909999999</v>
      </c>
      <c r="Q7" s="84">
        <v>73.11</v>
      </c>
    </row>
    <row r="8" spans="1:17" ht="30" customHeight="1" x14ac:dyDescent="0.25">
      <c r="A8" s="45" t="s">
        <v>23</v>
      </c>
      <c r="B8" s="29">
        <v>59442</v>
      </c>
      <c r="C8" s="29">
        <v>106466.78333333301</v>
      </c>
      <c r="D8" s="28">
        <v>51793.464</v>
      </c>
      <c r="E8" s="30">
        <v>9079585</v>
      </c>
      <c r="F8" s="29">
        <v>8521422</v>
      </c>
      <c r="G8" s="29">
        <v>10016892</v>
      </c>
      <c r="H8" s="31">
        <v>85.07</v>
      </c>
      <c r="I8" s="32">
        <v>28287.263999999999</v>
      </c>
      <c r="J8" s="33">
        <v>2239.65</v>
      </c>
      <c r="K8" s="31">
        <v>30526.914000000001</v>
      </c>
      <c r="L8" s="32">
        <v>766673.03099999996</v>
      </c>
      <c r="M8" s="33">
        <v>32942.036</v>
      </c>
      <c r="N8" s="33">
        <v>1999.6479999999999</v>
      </c>
      <c r="O8" s="31">
        <v>801614.71499999997</v>
      </c>
      <c r="P8" s="33">
        <v>1124707.6229999999</v>
      </c>
      <c r="Q8" s="31">
        <v>71.27</v>
      </c>
    </row>
    <row r="9" spans="1:17" ht="23.1" customHeight="1" x14ac:dyDescent="0.25">
      <c r="A9" s="43" t="s">
        <v>39</v>
      </c>
      <c r="B9" s="64">
        <v>57412</v>
      </c>
      <c r="C9" s="64">
        <v>102271.05</v>
      </c>
      <c r="D9" s="53">
        <v>49796.158000000003</v>
      </c>
      <c r="E9" s="75">
        <v>8773638</v>
      </c>
      <c r="F9" s="64">
        <v>8259122</v>
      </c>
      <c r="G9" s="64">
        <v>9665660</v>
      </c>
      <c r="H9" s="84">
        <v>85.45</v>
      </c>
      <c r="I9" s="93">
        <v>28267.019</v>
      </c>
      <c r="J9" s="102">
        <v>2248.7689999999998</v>
      </c>
      <c r="K9" s="84">
        <v>30515.788</v>
      </c>
      <c r="L9" s="93">
        <v>743182.95770000003</v>
      </c>
      <c r="M9" s="102">
        <v>33199.962099999997</v>
      </c>
      <c r="N9" s="102">
        <v>1955.4929</v>
      </c>
      <c r="O9" s="84">
        <v>778338.41269999999</v>
      </c>
      <c r="P9" s="102">
        <v>1095325.0983</v>
      </c>
      <c r="Q9" s="84">
        <v>71.06</v>
      </c>
    </row>
    <row r="10" spans="1:17" ht="23.1" customHeight="1" x14ac:dyDescent="0.25">
      <c r="A10" s="45" t="s">
        <v>24</v>
      </c>
      <c r="B10" s="29">
        <v>53936</v>
      </c>
      <c r="C10" s="29">
        <v>94420.82</v>
      </c>
      <c r="D10" s="28">
        <v>46425.7</v>
      </c>
      <c r="E10" s="30">
        <v>8215364</v>
      </c>
      <c r="F10" s="29">
        <v>7615736</v>
      </c>
      <c r="G10" s="29">
        <v>9054911</v>
      </c>
      <c r="H10" s="31">
        <v>84.11</v>
      </c>
      <c r="I10" s="32">
        <v>29044.169000000002</v>
      </c>
      <c r="J10" s="33">
        <v>2528.8510000000001</v>
      </c>
      <c r="K10" s="31">
        <v>31573.02</v>
      </c>
      <c r="L10" s="32">
        <v>685278.18500000006</v>
      </c>
      <c r="M10" s="33">
        <v>33505.605000000003</v>
      </c>
      <c r="N10" s="33">
        <v>2194.0030000000002</v>
      </c>
      <c r="O10" s="31">
        <v>720977.79299999995</v>
      </c>
      <c r="P10" s="33">
        <v>1027823.023</v>
      </c>
      <c r="Q10" s="31">
        <v>70.150000000000006</v>
      </c>
    </row>
    <row r="11" spans="1:17" ht="23.1" customHeight="1" x14ac:dyDescent="0.25">
      <c r="A11" s="43" t="s">
        <v>25</v>
      </c>
      <c r="B11" s="64">
        <v>53778</v>
      </c>
      <c r="C11" s="64">
        <v>94002.433300000004</v>
      </c>
      <c r="D11" s="53">
        <v>46490.097999999998</v>
      </c>
      <c r="E11" s="75">
        <v>8314039</v>
      </c>
      <c r="F11" s="64">
        <v>7709340</v>
      </c>
      <c r="G11" s="64">
        <v>9112809</v>
      </c>
      <c r="H11" s="84">
        <v>84.6</v>
      </c>
      <c r="I11" s="93">
        <v>28212.300999999999</v>
      </c>
      <c r="J11" s="102">
        <v>2305.9470000000001</v>
      </c>
      <c r="K11" s="84">
        <v>30518.248</v>
      </c>
      <c r="L11" s="93">
        <v>693662.38600000006</v>
      </c>
      <c r="M11" s="102">
        <v>32477.794999999998</v>
      </c>
      <c r="N11" s="102">
        <v>1999.473</v>
      </c>
      <c r="O11" s="84">
        <v>728139.65399999998</v>
      </c>
      <c r="P11" s="102">
        <v>1033928.018</v>
      </c>
      <c r="Q11" s="84">
        <v>70.42</v>
      </c>
    </row>
    <row r="12" spans="1:17" ht="23.1" customHeight="1" x14ac:dyDescent="0.25">
      <c r="A12" s="45" t="s">
        <v>26</v>
      </c>
      <c r="B12" s="29">
        <v>54587</v>
      </c>
      <c r="C12" s="29">
        <v>96481.466666666704</v>
      </c>
      <c r="D12" s="28">
        <v>47555.37</v>
      </c>
      <c r="E12" s="30">
        <v>8127404</v>
      </c>
      <c r="F12" s="29">
        <v>7578261</v>
      </c>
      <c r="G12" s="29">
        <v>9297544</v>
      </c>
      <c r="H12" s="31">
        <v>81.510000000000005</v>
      </c>
      <c r="I12" s="32">
        <v>28489.838</v>
      </c>
      <c r="J12" s="33">
        <v>2480.6799999999998</v>
      </c>
      <c r="K12" s="31">
        <v>30970.518</v>
      </c>
      <c r="L12" s="32">
        <v>681914.12800000003</v>
      </c>
      <c r="M12" s="33">
        <v>32610.223000000002</v>
      </c>
      <c r="N12" s="33">
        <v>2158.0529999999999</v>
      </c>
      <c r="O12" s="31">
        <v>716682.40399999998</v>
      </c>
      <c r="P12" s="33">
        <v>1054639.0789999999</v>
      </c>
      <c r="Q12" s="31">
        <v>67.959999999999994</v>
      </c>
    </row>
    <row r="13" spans="1:17" ht="23.1" customHeight="1" x14ac:dyDescent="0.25">
      <c r="A13" s="43" t="s">
        <v>27</v>
      </c>
      <c r="B13" s="64">
        <v>61364</v>
      </c>
      <c r="C13" s="64">
        <v>108593.71666666699</v>
      </c>
      <c r="D13" s="53">
        <v>53909.705999999998</v>
      </c>
      <c r="E13" s="75">
        <v>9195792</v>
      </c>
      <c r="F13" s="64">
        <v>8702094</v>
      </c>
      <c r="G13" s="64">
        <v>10562484</v>
      </c>
      <c r="H13" s="84">
        <v>82.39</v>
      </c>
      <c r="I13" s="93">
        <v>27155.736000000001</v>
      </c>
      <c r="J13" s="102">
        <v>2401.2820000000002</v>
      </c>
      <c r="K13" s="84">
        <v>29557.018</v>
      </c>
      <c r="L13" s="93">
        <v>782653.22400000005</v>
      </c>
      <c r="M13" s="102">
        <v>31435.666000000001</v>
      </c>
      <c r="N13" s="102">
        <v>2139.0830000000001</v>
      </c>
      <c r="O13" s="84">
        <v>816227.973</v>
      </c>
      <c r="P13" s="102">
        <v>1198918.064</v>
      </c>
      <c r="Q13" s="84">
        <v>68.08</v>
      </c>
    </row>
    <row r="14" spans="1:17" ht="23.1" customHeight="1" x14ac:dyDescent="0.25">
      <c r="A14" s="45" t="s">
        <v>28</v>
      </c>
      <c r="B14" s="29">
        <v>59566</v>
      </c>
      <c r="C14" s="29">
        <v>105678.816666667</v>
      </c>
      <c r="D14" s="28">
        <v>52710.423999999999</v>
      </c>
      <c r="E14" s="30">
        <v>9692717</v>
      </c>
      <c r="F14" s="29">
        <v>9218088</v>
      </c>
      <c r="G14" s="29">
        <v>10391122</v>
      </c>
      <c r="H14" s="31">
        <v>88.71</v>
      </c>
      <c r="I14" s="32">
        <v>27544.246999999999</v>
      </c>
      <c r="J14" s="33">
        <v>2596.759</v>
      </c>
      <c r="K14" s="31">
        <v>30141.006000000001</v>
      </c>
      <c r="L14" s="32">
        <v>828391.88989999995</v>
      </c>
      <c r="M14" s="33">
        <v>32114.424200000001</v>
      </c>
      <c r="N14" s="33">
        <v>2284.7973999999999</v>
      </c>
      <c r="O14" s="31">
        <v>862791.1115</v>
      </c>
      <c r="P14" s="33">
        <v>1174333.3718000001</v>
      </c>
      <c r="Q14" s="31">
        <v>73.47</v>
      </c>
    </row>
    <row r="15" spans="1:17" ht="23.1" customHeight="1" x14ac:dyDescent="0.25">
      <c r="A15" s="121" t="s">
        <v>29</v>
      </c>
      <c r="B15" s="2">
        <v>53238</v>
      </c>
      <c r="C15" s="2">
        <v>94623.566666666695</v>
      </c>
      <c r="D15" s="13">
        <v>47192.849000000002</v>
      </c>
      <c r="E15" s="24">
        <v>8522591</v>
      </c>
      <c r="F15" s="2">
        <v>8207875</v>
      </c>
      <c r="G15" s="2">
        <v>9311861</v>
      </c>
      <c r="H15" s="35">
        <v>88.14</v>
      </c>
      <c r="I15" s="44">
        <v>22374.063999999998</v>
      </c>
      <c r="J15" s="49">
        <v>2460.3009999999999</v>
      </c>
      <c r="K15" s="35">
        <v>24834.365000000002</v>
      </c>
      <c r="L15" s="44">
        <v>736762.47340000002</v>
      </c>
      <c r="M15" s="49">
        <v>26491.417799999999</v>
      </c>
      <c r="N15" s="49">
        <v>2164.3197</v>
      </c>
      <c r="O15" s="35">
        <v>765418.21089999995</v>
      </c>
      <c r="P15" s="102">
        <v>1036188.9814</v>
      </c>
      <c r="Q15" s="84">
        <v>73.87</v>
      </c>
    </row>
    <row r="16" spans="1:17" ht="23.1" customHeight="1" x14ac:dyDescent="0.25">
      <c r="A16" s="34" t="s">
        <v>30</v>
      </c>
      <c r="B16" s="36">
        <f t="shared" ref="B16:G16" si="0">IFERROR(SUM(B4:B15),"")</f>
        <v>690050</v>
      </c>
      <c r="C16" s="36">
        <f t="shared" si="0"/>
        <v>1224890.7866333339</v>
      </c>
      <c r="D16" s="36">
        <f t="shared" si="0"/>
        <v>602404.01900000009</v>
      </c>
      <c r="E16" s="36">
        <f t="shared" si="0"/>
        <v>107032421</v>
      </c>
      <c r="F16" s="36">
        <f t="shared" si="0"/>
        <v>100916734</v>
      </c>
      <c r="G16" s="36">
        <f t="shared" si="0"/>
        <v>117234284</v>
      </c>
      <c r="H16" s="37">
        <f>IFERROR(F16/G16*100,"")</f>
        <v>86.081247359347543</v>
      </c>
      <c r="I16" s="37">
        <f t="shared" ref="I16:P16" si="1">IFERROR(SUM(I4:I15),"")</f>
        <v>319514.69499999995</v>
      </c>
      <c r="J16" s="37">
        <f t="shared" si="1"/>
        <v>30036.1</v>
      </c>
      <c r="K16" s="37">
        <f t="shared" si="1"/>
        <v>349550.79499999993</v>
      </c>
      <c r="L16" s="37">
        <f t="shared" si="1"/>
        <v>9077519.1930000018</v>
      </c>
      <c r="M16" s="37">
        <f t="shared" si="1"/>
        <v>369835.24810000003</v>
      </c>
      <c r="N16" s="37">
        <f t="shared" si="1"/>
        <v>26225.722999999994</v>
      </c>
      <c r="O16" s="37">
        <f t="shared" si="1"/>
        <v>9473580.1640999988</v>
      </c>
      <c r="P16" s="38">
        <f t="shared" si="1"/>
        <v>13132686.932499997</v>
      </c>
      <c r="Q16" s="38">
        <f>IFERROR(O16/P16*100,"")</f>
        <v>72.137409600889384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>
        <v>8050</v>
      </c>
      <c r="C23" s="8">
        <v>31081.9</v>
      </c>
      <c r="D23" s="9">
        <v>20352.866000000002</v>
      </c>
      <c r="E23" s="7">
        <v>1389506</v>
      </c>
      <c r="F23" s="8">
        <v>3646063</v>
      </c>
      <c r="G23" s="8">
        <v>4149705</v>
      </c>
      <c r="H23" s="10">
        <v>87.86</v>
      </c>
      <c r="I23" s="11">
        <v>3667.0140000000001</v>
      </c>
      <c r="J23" s="11">
        <v>14.852</v>
      </c>
      <c r="K23" s="11">
        <v>3681.866</v>
      </c>
      <c r="L23" s="12">
        <v>328145.09899999999</v>
      </c>
      <c r="M23" s="11">
        <v>9688.08</v>
      </c>
      <c r="N23" s="11">
        <v>36.713000000000001</v>
      </c>
      <c r="O23" s="14">
        <v>337869.89199999999</v>
      </c>
      <c r="P23" s="12">
        <v>393269.72200000001</v>
      </c>
      <c r="Q23" s="14">
        <v>85.91</v>
      </c>
    </row>
    <row r="24" spans="1:17" ht="23.1" customHeight="1" x14ac:dyDescent="0.25">
      <c r="A24" s="51" t="s">
        <v>20</v>
      </c>
      <c r="B24" s="51">
        <v>7332</v>
      </c>
      <c r="C24" s="50">
        <v>28284.633333333299</v>
      </c>
      <c r="D24" s="52">
        <v>18574.654999999999</v>
      </c>
      <c r="E24" s="51">
        <v>1250961</v>
      </c>
      <c r="F24" s="50">
        <v>3281709</v>
      </c>
      <c r="G24" s="50">
        <v>3776299</v>
      </c>
      <c r="H24" s="54">
        <v>86.9</v>
      </c>
      <c r="I24" s="55">
        <v>3952.9369999999999</v>
      </c>
      <c r="J24" s="55">
        <v>10.965999999999999</v>
      </c>
      <c r="K24" s="55">
        <v>3963.9029999999998</v>
      </c>
      <c r="L24" s="56">
        <v>295353.58</v>
      </c>
      <c r="M24" s="55">
        <v>10491.516</v>
      </c>
      <c r="N24" s="55">
        <v>24.945</v>
      </c>
      <c r="O24" s="54">
        <v>305870.04100000003</v>
      </c>
      <c r="P24" s="56">
        <v>356502.25</v>
      </c>
      <c r="Q24" s="54">
        <v>85.8</v>
      </c>
    </row>
    <row r="25" spans="1:17" ht="23.1" customHeight="1" x14ac:dyDescent="0.25">
      <c r="A25" s="15" t="s">
        <v>21</v>
      </c>
      <c r="B25" s="15">
        <v>8231</v>
      </c>
      <c r="C25" s="6">
        <v>31657.4666666667</v>
      </c>
      <c r="D25" s="16">
        <v>20915.109</v>
      </c>
      <c r="E25" s="15">
        <v>1288619</v>
      </c>
      <c r="F25" s="6">
        <v>3390030</v>
      </c>
      <c r="G25" s="6">
        <v>4264695</v>
      </c>
      <c r="H25" s="10">
        <v>79.489999999999995</v>
      </c>
      <c r="I25" s="17">
        <v>5036.2340000000004</v>
      </c>
      <c r="J25" s="17">
        <v>10.678000000000001</v>
      </c>
      <c r="K25" s="17">
        <v>5046.9120000000003</v>
      </c>
      <c r="L25" s="18">
        <v>305102.57299999997</v>
      </c>
      <c r="M25" s="17">
        <v>13802.924999999999</v>
      </c>
      <c r="N25" s="17">
        <v>24.864999999999998</v>
      </c>
      <c r="O25" s="10">
        <v>318930.36300000001</v>
      </c>
      <c r="P25" s="18">
        <v>400393.26699999999</v>
      </c>
      <c r="Q25" s="10">
        <v>79.650000000000006</v>
      </c>
    </row>
    <row r="26" spans="1:17" ht="23.1" customHeight="1" x14ac:dyDescent="0.25">
      <c r="A26" s="51" t="s">
        <v>22</v>
      </c>
      <c r="B26" s="51">
        <v>8122</v>
      </c>
      <c r="C26" s="50">
        <v>30988.7166666667</v>
      </c>
      <c r="D26" s="52">
        <v>20413.183000000001</v>
      </c>
      <c r="E26" s="51">
        <v>1328293</v>
      </c>
      <c r="F26" s="50">
        <v>3492104</v>
      </c>
      <c r="G26" s="50">
        <v>4214790</v>
      </c>
      <c r="H26" s="54">
        <v>82.85</v>
      </c>
      <c r="I26" s="55">
        <v>4480.01</v>
      </c>
      <c r="J26" s="55">
        <v>9.6389999999999993</v>
      </c>
      <c r="K26" s="55">
        <v>4489.6490000000003</v>
      </c>
      <c r="L26" s="56">
        <v>314289.94400000002</v>
      </c>
      <c r="M26" s="55">
        <v>12534.782999999999</v>
      </c>
      <c r="N26" s="55">
        <v>23.885999999999999</v>
      </c>
      <c r="O26" s="54">
        <v>326848.61300000001</v>
      </c>
      <c r="P26" s="56">
        <v>397405.201</v>
      </c>
      <c r="Q26" s="54">
        <v>82.25</v>
      </c>
    </row>
    <row r="27" spans="1:17" ht="30" customHeight="1" x14ac:dyDescent="0.25">
      <c r="A27" s="15" t="s">
        <v>23</v>
      </c>
      <c r="B27" s="15">
        <v>8183</v>
      </c>
      <c r="C27" s="6">
        <v>31155.133333333299</v>
      </c>
      <c r="D27" s="16">
        <v>20279.624</v>
      </c>
      <c r="E27" s="15">
        <v>1330798</v>
      </c>
      <c r="F27" s="6">
        <v>3429499</v>
      </c>
      <c r="G27" s="6">
        <v>4167591</v>
      </c>
      <c r="H27" s="10">
        <v>82.29</v>
      </c>
      <c r="I27" s="17">
        <v>5032.4480000000003</v>
      </c>
      <c r="J27" s="17">
        <v>11.97</v>
      </c>
      <c r="K27" s="17">
        <v>5044.4179999999997</v>
      </c>
      <c r="L27" s="18">
        <v>308654.38699999999</v>
      </c>
      <c r="M27" s="17">
        <v>13735.278</v>
      </c>
      <c r="N27" s="17">
        <v>27.641999999999999</v>
      </c>
      <c r="O27" s="10">
        <v>322417.30699999997</v>
      </c>
      <c r="P27" s="18">
        <v>390293.25900000002</v>
      </c>
      <c r="Q27" s="10">
        <v>82.61</v>
      </c>
    </row>
    <row r="28" spans="1:17" ht="23.1" customHeight="1" x14ac:dyDescent="0.25">
      <c r="A28" s="51" t="s">
        <v>39</v>
      </c>
      <c r="B28" s="51">
        <v>8164</v>
      </c>
      <c r="C28" s="50">
        <v>31267.233333333301</v>
      </c>
      <c r="D28" s="52">
        <v>20527.993999999999</v>
      </c>
      <c r="E28" s="51">
        <v>1291919</v>
      </c>
      <c r="F28" s="50">
        <v>3368001</v>
      </c>
      <c r="G28" s="50">
        <v>4205663</v>
      </c>
      <c r="H28" s="54">
        <v>80.08</v>
      </c>
      <c r="I28" s="55">
        <v>4100.6469999999999</v>
      </c>
      <c r="J28" s="55">
        <v>10.249000000000001</v>
      </c>
      <c r="K28" s="55">
        <v>4110.8959999999997</v>
      </c>
      <c r="L28" s="56">
        <v>302407.74660000001</v>
      </c>
      <c r="M28" s="55">
        <v>11410.141600000001</v>
      </c>
      <c r="N28" s="55">
        <v>25.826499999999999</v>
      </c>
      <c r="O28" s="54">
        <v>313843.71470000001</v>
      </c>
      <c r="P28" s="56">
        <v>397721.52759999997</v>
      </c>
      <c r="Q28" s="54">
        <v>78.91</v>
      </c>
    </row>
    <row r="29" spans="1:17" ht="23.1" customHeight="1" x14ac:dyDescent="0.25">
      <c r="A29" s="15" t="s">
        <v>40</v>
      </c>
      <c r="B29" s="15">
        <v>8639</v>
      </c>
      <c r="C29" s="6">
        <v>33371.949999999997</v>
      </c>
      <c r="D29" s="16">
        <v>22190.159</v>
      </c>
      <c r="E29" s="15">
        <v>1393593</v>
      </c>
      <c r="F29" s="6">
        <v>3745407</v>
      </c>
      <c r="G29" s="6">
        <v>4561388</v>
      </c>
      <c r="H29" s="10">
        <v>82.11</v>
      </c>
      <c r="I29" s="17">
        <v>4862.4309999999996</v>
      </c>
      <c r="J29" s="17">
        <v>12.72</v>
      </c>
      <c r="K29" s="17">
        <v>4875.1509999999998</v>
      </c>
      <c r="L29" s="18">
        <v>337086.55800000002</v>
      </c>
      <c r="M29" s="17">
        <v>15199.476000000001</v>
      </c>
      <c r="N29" s="17">
        <v>34.476999999999997</v>
      </c>
      <c r="O29" s="10">
        <v>352320.511</v>
      </c>
      <c r="P29" s="18">
        <v>426756.62</v>
      </c>
      <c r="Q29" s="10">
        <v>82.56</v>
      </c>
    </row>
    <row r="30" spans="1:17" ht="23.1" customHeight="1" x14ac:dyDescent="0.25">
      <c r="A30" s="51" t="s">
        <v>25</v>
      </c>
      <c r="B30" s="51">
        <v>8663</v>
      </c>
      <c r="C30" s="50">
        <v>33728.483330000003</v>
      </c>
      <c r="D30" s="52">
        <v>22327.059000000001</v>
      </c>
      <c r="E30" s="51">
        <v>1403854</v>
      </c>
      <c r="F30" s="50">
        <v>3763287</v>
      </c>
      <c r="G30" s="50">
        <v>4608599</v>
      </c>
      <c r="H30" s="54">
        <v>81.66</v>
      </c>
      <c r="I30" s="55">
        <v>4722.2529999999997</v>
      </c>
      <c r="J30" s="55">
        <v>9.202</v>
      </c>
      <c r="K30" s="55">
        <v>4731.4549999999999</v>
      </c>
      <c r="L30" s="56">
        <v>338696.41499999998</v>
      </c>
      <c r="M30" s="55">
        <v>15268.187</v>
      </c>
      <c r="N30" s="55">
        <v>23.027999999999999</v>
      </c>
      <c r="O30" s="54">
        <v>353987.63</v>
      </c>
      <c r="P30" s="56">
        <v>458880.51199999999</v>
      </c>
      <c r="Q30" s="54">
        <v>77.14</v>
      </c>
    </row>
    <row r="31" spans="1:17" ht="23.1" customHeight="1" x14ac:dyDescent="0.25">
      <c r="A31" s="15" t="s">
        <v>26</v>
      </c>
      <c r="B31" s="15">
        <v>8338</v>
      </c>
      <c r="C31" s="6">
        <v>32893.800000000003</v>
      </c>
      <c r="D31" s="16">
        <v>21702.562000000002</v>
      </c>
      <c r="E31" s="15">
        <v>1338599</v>
      </c>
      <c r="F31" s="6">
        <v>3569852</v>
      </c>
      <c r="G31" s="6">
        <v>4544159</v>
      </c>
      <c r="H31" s="10">
        <v>78.56</v>
      </c>
      <c r="I31" s="17">
        <v>5261.6459999999997</v>
      </c>
      <c r="J31" s="17">
        <v>10.842000000000001</v>
      </c>
      <c r="K31" s="17">
        <v>5272.4880000000003</v>
      </c>
      <c r="L31" s="18">
        <v>321286.73499999999</v>
      </c>
      <c r="M31" s="17">
        <v>17231.671999999999</v>
      </c>
      <c r="N31" s="17">
        <v>27.036000000000001</v>
      </c>
      <c r="O31" s="10">
        <v>338545.44300000003</v>
      </c>
      <c r="P31" s="18">
        <v>461690.12699999998</v>
      </c>
      <c r="Q31" s="10">
        <v>73.33</v>
      </c>
    </row>
    <row r="32" spans="1:17" ht="23.1" customHeight="1" x14ac:dyDescent="0.25">
      <c r="A32" s="51" t="s">
        <v>27</v>
      </c>
      <c r="B32" s="51">
        <v>8484</v>
      </c>
      <c r="C32" s="50">
        <v>33480.916666666701</v>
      </c>
      <c r="D32" s="52">
        <v>22250.06</v>
      </c>
      <c r="E32" s="51">
        <v>1413816</v>
      </c>
      <c r="F32" s="50">
        <v>3809628</v>
      </c>
      <c r="G32" s="50">
        <v>4714711</v>
      </c>
      <c r="H32" s="54">
        <v>80.8</v>
      </c>
      <c r="I32" s="55">
        <v>5354.6409999999996</v>
      </c>
      <c r="J32" s="55">
        <v>10.875</v>
      </c>
      <c r="K32" s="55">
        <v>5365.5159999999996</v>
      </c>
      <c r="L32" s="56">
        <v>341176.41499999998</v>
      </c>
      <c r="M32" s="55">
        <v>18619.566999999999</v>
      </c>
      <c r="N32" s="55">
        <v>24.317</v>
      </c>
      <c r="O32" s="54">
        <v>359820.299</v>
      </c>
      <c r="P32" s="56">
        <v>464642.16800000001</v>
      </c>
      <c r="Q32" s="54">
        <v>77.44</v>
      </c>
    </row>
    <row r="33" spans="1:17" ht="23.1" customHeight="1" x14ac:dyDescent="0.25">
      <c r="A33" s="15" t="s">
        <v>28</v>
      </c>
      <c r="B33" s="15">
        <v>8644</v>
      </c>
      <c r="C33" s="6">
        <v>35310.199999999997</v>
      </c>
      <c r="D33" s="16">
        <v>23257.936000000002</v>
      </c>
      <c r="E33" s="15">
        <v>1462545</v>
      </c>
      <c r="F33" s="6">
        <v>4027840</v>
      </c>
      <c r="G33" s="6">
        <v>4967302</v>
      </c>
      <c r="H33" s="10">
        <v>81.09</v>
      </c>
      <c r="I33" s="17">
        <v>5915.4639999999999</v>
      </c>
      <c r="J33" s="17">
        <v>11.16</v>
      </c>
      <c r="K33" s="17">
        <v>5926.6239999999998</v>
      </c>
      <c r="L33" s="18">
        <v>357771.43699999998</v>
      </c>
      <c r="M33" s="17">
        <v>22431.1692</v>
      </c>
      <c r="N33" s="17">
        <v>24.8673</v>
      </c>
      <c r="O33" s="10">
        <v>380227.47350000002</v>
      </c>
      <c r="P33" s="18">
        <v>467833.0932</v>
      </c>
      <c r="Q33" s="10">
        <v>81.27</v>
      </c>
    </row>
    <row r="34" spans="1:17" ht="23.1" customHeight="1" x14ac:dyDescent="0.25">
      <c r="A34" s="51" t="s">
        <v>29</v>
      </c>
      <c r="B34" s="57">
        <v>9280</v>
      </c>
      <c r="C34" s="58">
        <v>38442.050000000003</v>
      </c>
      <c r="D34" s="59">
        <v>25268.758999999998</v>
      </c>
      <c r="E34" s="57">
        <v>1568245</v>
      </c>
      <c r="F34" s="58">
        <v>4405742</v>
      </c>
      <c r="G34" s="58">
        <v>5415224</v>
      </c>
      <c r="H34" s="54">
        <v>81.36</v>
      </c>
      <c r="I34" s="60">
        <v>6265.0010000000002</v>
      </c>
      <c r="J34" s="60">
        <v>6.7770000000000001</v>
      </c>
      <c r="K34" s="60">
        <v>6271.7780000000002</v>
      </c>
      <c r="L34" s="61">
        <v>389120.62319999997</v>
      </c>
      <c r="M34" s="60">
        <v>24457.108199999999</v>
      </c>
      <c r="N34" s="60">
        <v>13.087999999999999</v>
      </c>
      <c r="O34" s="62">
        <v>413590.81939999998</v>
      </c>
      <c r="P34" s="61">
        <v>501693.61930000002</v>
      </c>
      <c r="Q34" s="62">
        <v>82.44</v>
      </c>
    </row>
    <row r="35" spans="1:17" ht="23.1" customHeight="1" x14ac:dyDescent="0.25">
      <c r="A35" s="126" t="s">
        <v>30</v>
      </c>
      <c r="B35" s="3">
        <f t="shared" ref="B35:G35" si="2">IFERROR(SUM(B23:B34),"")</f>
        <v>100130</v>
      </c>
      <c r="C35" s="3">
        <f t="shared" si="2"/>
        <v>391662.48333000002</v>
      </c>
      <c r="D35" s="3">
        <f t="shared" si="2"/>
        <v>258059.96600000004</v>
      </c>
      <c r="E35" s="3">
        <f t="shared" si="2"/>
        <v>16460748</v>
      </c>
      <c r="F35" s="3">
        <f t="shared" si="2"/>
        <v>43929162</v>
      </c>
      <c r="G35" s="3">
        <f t="shared" si="2"/>
        <v>53590126</v>
      </c>
      <c r="H35" s="4">
        <f>IFERROR(F35/G35*100,"")</f>
        <v>81.972492469974796</v>
      </c>
      <c r="I35" s="5">
        <f t="shared" ref="I35:P35" si="3">IFERROR(SUM(I23:I34),"")</f>
        <v>58650.725999999995</v>
      </c>
      <c r="J35" s="5">
        <f t="shared" si="3"/>
        <v>129.92999999999998</v>
      </c>
      <c r="K35" s="5">
        <f t="shared" si="3"/>
        <v>58780.655999999995</v>
      </c>
      <c r="L35" s="5">
        <f t="shared" si="3"/>
        <v>3939091.5127999997</v>
      </c>
      <c r="M35" s="5">
        <f t="shared" si="3"/>
        <v>184869.90299999999</v>
      </c>
      <c r="N35" s="5">
        <f t="shared" si="3"/>
        <v>310.69080000000002</v>
      </c>
      <c r="O35" s="5">
        <f t="shared" si="3"/>
        <v>4124272.1065999996</v>
      </c>
      <c r="P35" s="5">
        <f t="shared" si="3"/>
        <v>5117081.3661000002</v>
      </c>
      <c r="Q35" s="5">
        <f>IFERROR(O35/P35*100,"")</f>
        <v>80.59813420053797</v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>
        <v>153</v>
      </c>
      <c r="C42" s="104">
        <v>293.83333333333297</v>
      </c>
      <c r="D42" s="105">
        <v>143.62799999999999</v>
      </c>
      <c r="E42" s="103">
        <v>5033</v>
      </c>
      <c r="F42" s="104">
        <v>3222</v>
      </c>
      <c r="G42" s="104">
        <v>4222</v>
      </c>
      <c r="H42" s="106">
        <v>76.31</v>
      </c>
      <c r="I42" s="107">
        <v>938.34648000000004</v>
      </c>
      <c r="J42" s="108">
        <v>5.0784200000000004</v>
      </c>
      <c r="K42" s="106">
        <v>943.42489999999998</v>
      </c>
      <c r="L42" s="107">
        <v>284.85638999999998</v>
      </c>
      <c r="M42" s="108">
        <v>1398.1464937000001</v>
      </c>
      <c r="N42" s="108">
        <v>6.7790476200000001</v>
      </c>
      <c r="O42" s="106">
        <v>1689.78193132</v>
      </c>
      <c r="P42" s="107">
        <v>2807.0759200000002</v>
      </c>
      <c r="Q42" s="106">
        <v>60.2</v>
      </c>
    </row>
    <row r="43" spans="1:17" ht="25.5" customHeight="1" x14ac:dyDescent="0.25">
      <c r="A43" s="47" t="s">
        <v>20</v>
      </c>
      <c r="B43" s="63">
        <v>180</v>
      </c>
      <c r="C43" s="65">
        <v>471.58333333333297</v>
      </c>
      <c r="D43" s="66">
        <v>140.083</v>
      </c>
      <c r="E43" s="63">
        <v>13087</v>
      </c>
      <c r="F43" s="65">
        <v>8281</v>
      </c>
      <c r="G43" s="65">
        <v>10031</v>
      </c>
      <c r="H43" s="67">
        <v>82.55</v>
      </c>
      <c r="I43" s="68">
        <v>586.22497999999996</v>
      </c>
      <c r="J43" s="69">
        <v>4.1517999999999997</v>
      </c>
      <c r="K43" s="67">
        <v>590.37678000000005</v>
      </c>
      <c r="L43" s="68">
        <v>740.48814000000004</v>
      </c>
      <c r="M43" s="69">
        <v>842.16589999999997</v>
      </c>
      <c r="N43" s="69">
        <v>3.4761696400000002</v>
      </c>
      <c r="O43" s="67">
        <v>1586.13020964</v>
      </c>
      <c r="P43" s="68">
        <v>2713.9670999999998</v>
      </c>
      <c r="Q43" s="67">
        <v>58.44</v>
      </c>
    </row>
    <row r="44" spans="1:17" ht="25.5" customHeight="1" x14ac:dyDescent="0.25">
      <c r="A44" s="46" t="s">
        <v>21</v>
      </c>
      <c r="B44" s="109">
        <v>249</v>
      </c>
      <c r="C44" s="110">
        <v>427.316666666667</v>
      </c>
      <c r="D44" s="111">
        <v>200.85400000000001</v>
      </c>
      <c r="E44" s="109">
        <v>19061</v>
      </c>
      <c r="F44" s="110">
        <v>12333</v>
      </c>
      <c r="G44" s="110">
        <v>14937</v>
      </c>
      <c r="H44" s="112">
        <v>82.57</v>
      </c>
      <c r="I44" s="113">
        <v>781.26549999999997</v>
      </c>
      <c r="J44" s="114">
        <v>0.70110320000000004</v>
      </c>
      <c r="K44" s="112">
        <v>781.96660320000001</v>
      </c>
      <c r="L44" s="113">
        <v>1104.2360000000001</v>
      </c>
      <c r="M44" s="114">
        <v>1246.2750000000001</v>
      </c>
      <c r="N44" s="114">
        <v>0.79569999999999996</v>
      </c>
      <c r="O44" s="112">
        <v>2351.3067000000001</v>
      </c>
      <c r="P44" s="113">
        <v>3944.4780000000001</v>
      </c>
      <c r="Q44" s="112">
        <v>59.61</v>
      </c>
    </row>
    <row r="45" spans="1:17" ht="25.5" customHeight="1" x14ac:dyDescent="0.25">
      <c r="A45" s="47" t="s">
        <v>22</v>
      </c>
      <c r="B45" s="63">
        <v>226</v>
      </c>
      <c r="C45" s="70">
        <v>398.28333333333302</v>
      </c>
      <c r="D45" s="66">
        <v>176.27600000000001</v>
      </c>
      <c r="E45" s="63">
        <v>18874</v>
      </c>
      <c r="F45" s="65">
        <v>12482</v>
      </c>
      <c r="G45" s="65">
        <v>14406</v>
      </c>
      <c r="H45" s="67">
        <v>86.64</v>
      </c>
      <c r="I45" s="68">
        <v>714.34786999999994</v>
      </c>
      <c r="J45" s="69">
        <v>2E-3</v>
      </c>
      <c r="K45" s="67">
        <v>714.34987000000001</v>
      </c>
      <c r="L45" s="68">
        <v>1119.6288</v>
      </c>
      <c r="M45" s="69">
        <v>1013.15034557</v>
      </c>
      <c r="N45" s="69">
        <v>1.0061032000000001</v>
      </c>
      <c r="O45" s="67">
        <v>2133.7852487700002</v>
      </c>
      <c r="P45" s="68">
        <v>3431.2779</v>
      </c>
      <c r="Q45" s="67">
        <v>62.19</v>
      </c>
    </row>
    <row r="46" spans="1:17" ht="25.5" customHeight="1" x14ac:dyDescent="0.25">
      <c r="A46" s="46" t="s">
        <v>23</v>
      </c>
      <c r="B46" s="109">
        <v>198</v>
      </c>
      <c r="C46" s="115">
        <v>333.85</v>
      </c>
      <c r="D46" s="111">
        <v>139.77099999999999</v>
      </c>
      <c r="E46" s="109">
        <v>16016</v>
      </c>
      <c r="F46" s="110">
        <v>10117</v>
      </c>
      <c r="G46" s="110">
        <v>12504</v>
      </c>
      <c r="H46" s="112">
        <v>80.91</v>
      </c>
      <c r="I46" s="113">
        <v>524.38422000000003</v>
      </c>
      <c r="J46" s="114">
        <v>0.20699999999999999</v>
      </c>
      <c r="K46" s="112">
        <v>524.59122000000002</v>
      </c>
      <c r="L46" s="113">
        <v>906.79787999999996</v>
      </c>
      <c r="M46" s="114">
        <v>695.53157738000004</v>
      </c>
      <c r="N46" s="114">
        <v>1.3029999999999999</v>
      </c>
      <c r="O46" s="112">
        <v>1603.63245738</v>
      </c>
      <c r="P46" s="113">
        <v>2599.5906399999999</v>
      </c>
      <c r="Q46" s="112">
        <v>61.69</v>
      </c>
    </row>
    <row r="47" spans="1:17" ht="25.5" customHeight="1" x14ac:dyDescent="0.25">
      <c r="A47" s="47" t="s">
        <v>39</v>
      </c>
      <c r="B47" s="71">
        <v>195</v>
      </c>
      <c r="C47" s="72">
        <v>312.46666666666698</v>
      </c>
      <c r="D47" s="66">
        <v>123.65900000000001</v>
      </c>
      <c r="E47" s="71">
        <v>19518</v>
      </c>
      <c r="F47" s="72">
        <v>12289</v>
      </c>
      <c r="G47" s="72">
        <v>14174</v>
      </c>
      <c r="H47" s="67">
        <v>86.7</v>
      </c>
      <c r="I47" s="73">
        <v>177.0951</v>
      </c>
      <c r="J47" s="74">
        <v>6.3403</v>
      </c>
      <c r="K47" s="67">
        <v>183.43539999999999</v>
      </c>
      <c r="L47" s="73">
        <v>1102.0313699999999</v>
      </c>
      <c r="M47" s="74">
        <v>212.9255</v>
      </c>
      <c r="N47" s="74">
        <v>8.0452999999999992</v>
      </c>
      <c r="O47" s="67">
        <v>1323.00217</v>
      </c>
      <c r="P47" s="73">
        <v>2211.0264999999999</v>
      </c>
      <c r="Q47" s="67">
        <v>59.84</v>
      </c>
    </row>
    <row r="48" spans="1:17" ht="25.5" customHeight="1" x14ac:dyDescent="0.25">
      <c r="A48" s="46" t="s">
        <v>40</v>
      </c>
      <c r="B48" s="116">
        <v>217</v>
      </c>
      <c r="C48" s="117">
        <v>387.13330000000002</v>
      </c>
      <c r="D48" s="118">
        <v>156.96199999999999</v>
      </c>
      <c r="E48" s="116">
        <v>17870</v>
      </c>
      <c r="F48" s="117">
        <v>11008</v>
      </c>
      <c r="G48" s="117">
        <v>13024</v>
      </c>
      <c r="H48" s="112">
        <v>84.52</v>
      </c>
      <c r="I48" s="119">
        <v>414.59217999999998</v>
      </c>
      <c r="J48" s="120">
        <v>1.7070000000000001</v>
      </c>
      <c r="K48" s="112">
        <v>416.29917999999998</v>
      </c>
      <c r="L48" s="119">
        <v>982.69380000000001</v>
      </c>
      <c r="M48" s="120">
        <v>595.65800000000002</v>
      </c>
      <c r="N48" s="120">
        <v>1.6447000000000001</v>
      </c>
      <c r="O48" s="112">
        <v>1579.9965</v>
      </c>
      <c r="P48" s="119">
        <v>3020.8290000000002</v>
      </c>
      <c r="Q48" s="112">
        <v>52.3</v>
      </c>
    </row>
    <row r="49" spans="1:17" ht="25.5" customHeight="1" x14ac:dyDescent="0.25">
      <c r="A49" s="47" t="s">
        <v>25</v>
      </c>
      <c r="B49" s="71">
        <v>207</v>
      </c>
      <c r="C49" s="72">
        <v>350.68329999999997</v>
      </c>
      <c r="D49" s="76">
        <v>141.59399999999999</v>
      </c>
      <c r="E49" s="71">
        <v>17262</v>
      </c>
      <c r="F49" s="72">
        <v>10888</v>
      </c>
      <c r="G49" s="72">
        <v>13710</v>
      </c>
      <c r="H49" s="67">
        <v>79.42</v>
      </c>
      <c r="I49" s="73">
        <v>304.12583999999998</v>
      </c>
      <c r="J49" s="74">
        <v>1.579</v>
      </c>
      <c r="K49" s="67">
        <v>305.70483999999999</v>
      </c>
      <c r="L49" s="73">
        <v>974.83299999999997</v>
      </c>
      <c r="M49" s="74">
        <v>443.89299999999997</v>
      </c>
      <c r="N49" s="74">
        <v>1.177</v>
      </c>
      <c r="O49" s="67">
        <v>1419.903</v>
      </c>
      <c r="P49" s="73">
        <v>2614.413</v>
      </c>
      <c r="Q49" s="67">
        <v>54.31</v>
      </c>
    </row>
    <row r="50" spans="1:17" ht="25.5" customHeight="1" x14ac:dyDescent="0.25">
      <c r="A50" s="46" t="s">
        <v>26</v>
      </c>
      <c r="B50" s="116">
        <v>212</v>
      </c>
      <c r="C50" s="117">
        <v>362.5</v>
      </c>
      <c r="D50" s="118">
        <v>157.19399999999999</v>
      </c>
      <c r="E50" s="116">
        <v>18322</v>
      </c>
      <c r="F50" s="117">
        <v>11272</v>
      </c>
      <c r="G50" s="117">
        <v>13407</v>
      </c>
      <c r="H50" s="112">
        <v>84.08</v>
      </c>
      <c r="I50" s="119">
        <v>646.51148000000001</v>
      </c>
      <c r="J50" s="120">
        <v>2.5121500000000001</v>
      </c>
      <c r="K50" s="112">
        <v>649.02363000000003</v>
      </c>
      <c r="L50" s="119">
        <v>1008.235</v>
      </c>
      <c r="M50" s="120">
        <v>910.54899999999998</v>
      </c>
      <c r="N50" s="120">
        <v>1.8320000000000001</v>
      </c>
      <c r="O50" s="112">
        <v>1920.616</v>
      </c>
      <c r="P50" s="119">
        <v>3100.6350000000002</v>
      </c>
      <c r="Q50" s="112">
        <v>61.94</v>
      </c>
    </row>
    <row r="51" spans="1:17" ht="25.5" customHeight="1" x14ac:dyDescent="0.25">
      <c r="A51" s="47" t="s">
        <v>27</v>
      </c>
      <c r="B51" s="71">
        <v>204</v>
      </c>
      <c r="C51" s="72">
        <v>328.01666666666699</v>
      </c>
      <c r="D51" s="76">
        <v>140.34800000000001</v>
      </c>
      <c r="E51" s="71">
        <v>17558</v>
      </c>
      <c r="F51" s="72">
        <v>10915</v>
      </c>
      <c r="G51" s="72">
        <v>14055</v>
      </c>
      <c r="H51" s="67">
        <v>77.66</v>
      </c>
      <c r="I51" s="73">
        <v>263.80560000000003</v>
      </c>
      <c r="J51" s="74">
        <v>1.8360000000000001</v>
      </c>
      <c r="K51" s="67">
        <v>265.64159999999998</v>
      </c>
      <c r="L51" s="73">
        <v>974.47491000000002</v>
      </c>
      <c r="M51" s="74">
        <v>352.37786999999997</v>
      </c>
      <c r="N51" s="74">
        <v>2.4630000000000001</v>
      </c>
      <c r="O51" s="67">
        <v>1329.3157799999999</v>
      </c>
      <c r="P51" s="73">
        <v>2634.3770800000002</v>
      </c>
      <c r="Q51" s="67">
        <v>50.46</v>
      </c>
    </row>
    <row r="52" spans="1:17" ht="25.5" customHeight="1" x14ac:dyDescent="0.25">
      <c r="A52" s="46" t="s">
        <v>28</v>
      </c>
      <c r="B52" s="116">
        <v>245</v>
      </c>
      <c r="C52" s="117">
        <v>401.316666666667</v>
      </c>
      <c r="D52" s="118">
        <v>177.57300000000001</v>
      </c>
      <c r="E52" s="116">
        <v>24617</v>
      </c>
      <c r="F52" s="117">
        <v>16482</v>
      </c>
      <c r="G52" s="117">
        <v>17796</v>
      </c>
      <c r="H52" s="112">
        <v>92.62</v>
      </c>
      <c r="I52" s="119">
        <v>543.18718000000001</v>
      </c>
      <c r="J52" s="120">
        <v>6.0000000000000001E-3</v>
      </c>
      <c r="K52" s="112">
        <v>543.19317999999998</v>
      </c>
      <c r="L52" s="119">
        <v>1475.3609100000001</v>
      </c>
      <c r="M52" s="120">
        <v>713.40329999999994</v>
      </c>
      <c r="N52" s="120">
        <v>1.7287999999999999</v>
      </c>
      <c r="O52" s="112">
        <v>2190.4930100000001</v>
      </c>
      <c r="P52" s="119">
        <v>3404.0413526771899</v>
      </c>
      <c r="Q52" s="112">
        <v>64.349999999999994</v>
      </c>
    </row>
    <row r="53" spans="1:17" ht="25.5" customHeight="1" x14ac:dyDescent="0.25">
      <c r="A53" s="47" t="s">
        <v>29</v>
      </c>
      <c r="B53" s="77">
        <v>274</v>
      </c>
      <c r="C53" s="78">
        <v>499.15</v>
      </c>
      <c r="D53" s="79">
        <v>225.12799999999999</v>
      </c>
      <c r="E53" s="77">
        <v>25987</v>
      </c>
      <c r="F53" s="78">
        <v>17208</v>
      </c>
      <c r="G53" s="78">
        <v>18818</v>
      </c>
      <c r="H53" s="80">
        <v>91.44</v>
      </c>
      <c r="I53" s="81">
        <v>1002.09339</v>
      </c>
      <c r="J53" s="82">
        <v>0.67179999999999995</v>
      </c>
      <c r="K53" s="80">
        <v>1002.76519</v>
      </c>
      <c r="L53" s="81">
        <v>1543.9978799999999</v>
      </c>
      <c r="M53" s="82">
        <v>1439.178455</v>
      </c>
      <c r="N53" s="82">
        <v>1.4125373999999999</v>
      </c>
      <c r="O53" s="80">
        <v>2984.5888724000001</v>
      </c>
      <c r="P53" s="81">
        <v>4601.7158509999999</v>
      </c>
      <c r="Q53" s="80">
        <v>64.86</v>
      </c>
    </row>
    <row r="54" spans="1:17" ht="25.5" customHeight="1" x14ac:dyDescent="0.25">
      <c r="A54" s="122" t="s">
        <v>30</v>
      </c>
      <c r="B54" s="123">
        <f t="shared" ref="B54:G54" si="4">IFERROR(SUM(B42:B53),"")</f>
        <v>2560</v>
      </c>
      <c r="C54" s="123">
        <f t="shared" si="4"/>
        <v>4566.1332666666667</v>
      </c>
      <c r="D54" s="123">
        <f t="shared" si="4"/>
        <v>1923.0700000000002</v>
      </c>
      <c r="E54" s="123">
        <f t="shared" si="4"/>
        <v>213205</v>
      </c>
      <c r="F54" s="123">
        <f t="shared" si="4"/>
        <v>136497</v>
      </c>
      <c r="G54" s="123">
        <f t="shared" si="4"/>
        <v>161084</v>
      </c>
      <c r="H54" s="124">
        <f>IFERROR(F54/G54*100,"")</f>
        <v>84.736534975540707</v>
      </c>
      <c r="I54" s="124">
        <f t="shared" ref="I54:P54" si="5">IFERROR(SUM(I42:I53),"")</f>
        <v>6895.9798199999996</v>
      </c>
      <c r="J54" s="124">
        <f t="shared" si="5"/>
        <v>24.792573200000003</v>
      </c>
      <c r="K54" s="124">
        <f t="shared" si="5"/>
        <v>6920.7723931999999</v>
      </c>
      <c r="L54" s="124">
        <f t="shared" si="5"/>
        <v>12217.63408</v>
      </c>
      <c r="M54" s="124">
        <f t="shared" si="5"/>
        <v>9863.2544416500004</v>
      </c>
      <c r="N54" s="124">
        <f t="shared" si="5"/>
        <v>31.663357860000001</v>
      </c>
      <c r="O54" s="124">
        <f t="shared" si="5"/>
        <v>22112.551879509996</v>
      </c>
      <c r="P54" s="125">
        <f t="shared" si="5"/>
        <v>37083.427343677191</v>
      </c>
      <c r="Q54" s="124">
        <f>IFERROR(O54/P54*100,"")</f>
        <v>59.629202216337852</v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>
        <v>120</v>
      </c>
      <c r="C61" s="90">
        <v>443.76666666666699</v>
      </c>
      <c r="D61" s="91">
        <v>296.12320886124297</v>
      </c>
      <c r="E61" s="89">
        <v>0</v>
      </c>
      <c r="F61" s="90">
        <v>0</v>
      </c>
      <c r="G61" s="90">
        <v>0</v>
      </c>
      <c r="H61" s="92">
        <v>0</v>
      </c>
      <c r="I61" s="94">
        <v>1836.48299</v>
      </c>
      <c r="J61" s="95">
        <v>0</v>
      </c>
      <c r="K61" s="95">
        <v>1836.48299</v>
      </c>
      <c r="L61" s="94">
        <v>0</v>
      </c>
      <c r="M61" s="95">
        <v>4342.0195028081298</v>
      </c>
      <c r="N61" s="95">
        <v>0</v>
      </c>
      <c r="O61" s="92">
        <v>4342.0195028081298</v>
      </c>
      <c r="P61" s="95">
        <v>6603.07605915367</v>
      </c>
      <c r="Q61" s="92">
        <v>65.760000000000005</v>
      </c>
    </row>
    <row r="62" spans="1:17" ht="24.75" customHeight="1" x14ac:dyDescent="0.25">
      <c r="A62" s="47" t="s">
        <v>20</v>
      </c>
      <c r="B62" s="71">
        <v>104</v>
      </c>
      <c r="C62" s="72">
        <v>385.98333333333301</v>
      </c>
      <c r="D62" s="76">
        <v>243.9537</v>
      </c>
      <c r="E62" s="71">
        <v>718</v>
      </c>
      <c r="F62" s="72">
        <v>1859</v>
      </c>
      <c r="G62" s="72">
        <v>2403</v>
      </c>
      <c r="H62" s="67">
        <v>77.36</v>
      </c>
      <c r="I62" s="73">
        <v>1486.8054199999999</v>
      </c>
      <c r="J62" s="74">
        <v>0</v>
      </c>
      <c r="K62" s="74">
        <v>1486.8054199999999</v>
      </c>
      <c r="L62" s="73">
        <v>167.30117999999999</v>
      </c>
      <c r="M62" s="74">
        <v>3527.9889699999999</v>
      </c>
      <c r="N62" s="74">
        <v>0</v>
      </c>
      <c r="O62" s="67">
        <v>3695.2901499999998</v>
      </c>
      <c r="P62" s="74">
        <v>5428.3315000000002</v>
      </c>
      <c r="Q62" s="67">
        <v>68.069999999999993</v>
      </c>
    </row>
    <row r="63" spans="1:17" ht="24.75" customHeight="1" x14ac:dyDescent="0.25">
      <c r="A63" s="48" t="s">
        <v>21</v>
      </c>
      <c r="B63" s="96">
        <v>140</v>
      </c>
      <c r="C63" s="97">
        <v>506.86666666666702</v>
      </c>
      <c r="D63" s="98">
        <v>335.43090000000001</v>
      </c>
      <c r="E63" s="96">
        <v>0</v>
      </c>
      <c r="F63" s="97">
        <v>0</v>
      </c>
      <c r="G63" s="97">
        <v>0</v>
      </c>
      <c r="H63" s="99">
        <v>0</v>
      </c>
      <c r="I63" s="100">
        <v>1989.9199000000001</v>
      </c>
      <c r="J63" s="101">
        <v>0</v>
      </c>
      <c r="K63" s="101">
        <v>1989.9199000000001</v>
      </c>
      <c r="L63" s="100">
        <v>0</v>
      </c>
      <c r="M63" s="101">
        <v>4859.82886648564</v>
      </c>
      <c r="N63" s="101">
        <v>0</v>
      </c>
      <c r="O63" s="99">
        <v>4859.82886648564</v>
      </c>
      <c r="P63" s="101">
        <v>7375.8628468566003</v>
      </c>
      <c r="Q63" s="99">
        <v>65.89</v>
      </c>
    </row>
    <row r="64" spans="1:17" ht="24.75" customHeight="1" x14ac:dyDescent="0.25">
      <c r="A64" s="47" t="s">
        <v>22</v>
      </c>
      <c r="B64" s="71">
        <v>112</v>
      </c>
      <c r="C64" s="72">
        <v>413.566666666667</v>
      </c>
      <c r="D64" s="76">
        <v>273.19329616419901</v>
      </c>
      <c r="E64" s="71">
        <v>0</v>
      </c>
      <c r="F64" s="72">
        <v>0</v>
      </c>
      <c r="G64" s="72">
        <v>0</v>
      </c>
      <c r="H64" s="67">
        <v>0</v>
      </c>
      <c r="I64" s="73">
        <v>1655.06538</v>
      </c>
      <c r="J64" s="74">
        <v>0</v>
      </c>
      <c r="K64" s="74">
        <v>1655.06538</v>
      </c>
      <c r="L64" s="73">
        <v>0</v>
      </c>
      <c r="M64" s="74">
        <v>4075.3762270050001</v>
      </c>
      <c r="N64" s="74">
        <v>0</v>
      </c>
      <c r="O64" s="67">
        <v>4075.3762270050001</v>
      </c>
      <c r="P64" s="74">
        <v>6091.6199553822498</v>
      </c>
      <c r="Q64" s="67">
        <v>66.900000000000006</v>
      </c>
    </row>
    <row r="65" spans="1:17" ht="24.75" customHeight="1" x14ac:dyDescent="0.25">
      <c r="A65" s="48" t="s">
        <v>23</v>
      </c>
      <c r="B65" s="96">
        <v>107</v>
      </c>
      <c r="C65" s="97">
        <v>389.78333333333302</v>
      </c>
      <c r="D65" s="98">
        <v>255.33264608876701</v>
      </c>
      <c r="E65" s="96">
        <v>431</v>
      </c>
      <c r="F65" s="97">
        <v>526</v>
      </c>
      <c r="G65" s="97">
        <v>567</v>
      </c>
      <c r="H65" s="99">
        <v>92.77</v>
      </c>
      <c r="I65" s="100">
        <v>1565.7882500000001</v>
      </c>
      <c r="J65" s="101">
        <v>0</v>
      </c>
      <c r="K65" s="101">
        <v>1565.7882500000001</v>
      </c>
      <c r="L65" s="100">
        <v>47.362589999999997</v>
      </c>
      <c r="M65" s="101">
        <v>3858.71777464152</v>
      </c>
      <c r="N65" s="101">
        <v>0</v>
      </c>
      <c r="O65" s="99">
        <v>3906.0803646415202</v>
      </c>
      <c r="P65" s="101">
        <v>5708.5254158124599</v>
      </c>
      <c r="Q65" s="99">
        <v>68.430000000000007</v>
      </c>
    </row>
    <row r="66" spans="1:17" ht="24.75" customHeight="1" x14ac:dyDescent="0.25">
      <c r="A66" s="47" t="s">
        <v>39</v>
      </c>
      <c r="B66" s="71">
        <v>101</v>
      </c>
      <c r="C66" s="72">
        <v>366.85</v>
      </c>
      <c r="D66" s="76">
        <v>230.27109999999999</v>
      </c>
      <c r="E66" s="71">
        <v>680</v>
      </c>
      <c r="F66" s="72">
        <v>1595</v>
      </c>
      <c r="G66" s="72">
        <v>2817</v>
      </c>
      <c r="H66" s="67">
        <v>56.62</v>
      </c>
      <c r="I66" s="73">
        <v>1483.82053</v>
      </c>
      <c r="J66" s="74">
        <v>0.3614</v>
      </c>
      <c r="K66" s="74">
        <v>1484.18193</v>
      </c>
      <c r="L66" s="73">
        <v>143.55000000000001</v>
      </c>
      <c r="M66" s="74">
        <v>3555.7844</v>
      </c>
      <c r="N66" s="74">
        <v>0.1044446</v>
      </c>
      <c r="O66" s="67">
        <v>3699.4388445999998</v>
      </c>
      <c r="P66" s="74">
        <v>5277.5066584117803</v>
      </c>
      <c r="Q66" s="67">
        <v>70.099999999999994</v>
      </c>
    </row>
    <row r="67" spans="1:17" ht="24.75" customHeight="1" x14ac:dyDescent="0.25">
      <c r="A67" s="48" t="s">
        <v>40</v>
      </c>
      <c r="B67" s="96">
        <v>126</v>
      </c>
      <c r="C67" s="97">
        <v>445.83330000000001</v>
      </c>
      <c r="D67" s="98">
        <v>308.71199999999999</v>
      </c>
      <c r="E67" s="96">
        <v>0</v>
      </c>
      <c r="F67" s="97">
        <v>0</v>
      </c>
      <c r="G67" s="97">
        <v>0</v>
      </c>
      <c r="H67" s="99">
        <v>0</v>
      </c>
      <c r="I67" s="100">
        <v>1921.55045</v>
      </c>
      <c r="J67" s="101">
        <v>0</v>
      </c>
      <c r="K67" s="101">
        <v>1921.55045</v>
      </c>
      <c r="L67" s="100">
        <v>0</v>
      </c>
      <c r="M67" s="101">
        <v>4979.8280000000004</v>
      </c>
      <c r="N67" s="101">
        <v>0</v>
      </c>
      <c r="O67" s="99">
        <v>4979.8280000000004</v>
      </c>
      <c r="P67" s="101">
        <v>6979.3630000000003</v>
      </c>
      <c r="Q67" s="99">
        <v>71.349999999999994</v>
      </c>
    </row>
    <row r="68" spans="1:17" ht="24.75" customHeight="1" x14ac:dyDescent="0.25">
      <c r="A68" s="47" t="s">
        <v>25</v>
      </c>
      <c r="B68" s="71">
        <v>138</v>
      </c>
      <c r="C68" s="72">
        <v>486.7167</v>
      </c>
      <c r="D68" s="76">
        <v>332.8</v>
      </c>
      <c r="E68" s="71">
        <v>0</v>
      </c>
      <c r="F68" s="72">
        <v>0</v>
      </c>
      <c r="G68" s="72">
        <v>0</v>
      </c>
      <c r="H68" s="67">
        <v>0</v>
      </c>
      <c r="I68" s="73">
        <v>2157.32564</v>
      </c>
      <c r="J68" s="74">
        <v>0</v>
      </c>
      <c r="K68" s="74">
        <v>2157.32564</v>
      </c>
      <c r="L68" s="73">
        <v>0</v>
      </c>
      <c r="M68" s="74">
        <v>5491.3530000000001</v>
      </c>
      <c r="N68" s="74">
        <v>0</v>
      </c>
      <c r="O68" s="67">
        <v>5491.3530000000001</v>
      </c>
      <c r="P68" s="74">
        <v>7539.5050000000001</v>
      </c>
      <c r="Q68" s="67">
        <v>72.83</v>
      </c>
    </row>
    <row r="69" spans="1:17" ht="24.75" customHeight="1" x14ac:dyDescent="0.25">
      <c r="A69" s="48" t="s">
        <v>26</v>
      </c>
      <c r="B69" s="96">
        <v>132</v>
      </c>
      <c r="C69" s="97">
        <v>474.61666666666702</v>
      </c>
      <c r="D69" s="98">
        <v>326.13</v>
      </c>
      <c r="E69" s="96">
        <v>144</v>
      </c>
      <c r="F69" s="97">
        <v>163</v>
      </c>
      <c r="G69" s="97">
        <v>210</v>
      </c>
      <c r="H69" s="99">
        <v>77.62</v>
      </c>
      <c r="I69" s="100">
        <v>2095.14525</v>
      </c>
      <c r="J69" s="101">
        <v>0</v>
      </c>
      <c r="K69" s="101">
        <v>2095.14525</v>
      </c>
      <c r="L69" s="100">
        <v>14.645</v>
      </c>
      <c r="M69" s="101">
        <v>5406.7610000000004</v>
      </c>
      <c r="N69" s="101">
        <v>0</v>
      </c>
      <c r="O69" s="99">
        <v>5421.4059999999999</v>
      </c>
      <c r="P69" s="101">
        <v>7346.8779999999997</v>
      </c>
      <c r="Q69" s="99">
        <v>73.790000000000006</v>
      </c>
    </row>
    <row r="70" spans="1:17" ht="24.75" customHeight="1" x14ac:dyDescent="0.25">
      <c r="A70" s="47" t="s">
        <v>27</v>
      </c>
      <c r="B70" s="71">
        <v>117</v>
      </c>
      <c r="C70" s="72">
        <v>422.86666666666702</v>
      </c>
      <c r="D70" s="76">
        <v>284</v>
      </c>
      <c r="E70" s="71">
        <v>0</v>
      </c>
      <c r="F70" s="72">
        <v>0</v>
      </c>
      <c r="G70" s="72">
        <v>0</v>
      </c>
      <c r="H70" s="67">
        <v>0</v>
      </c>
      <c r="I70" s="73">
        <v>1880.7791099999999</v>
      </c>
      <c r="J70" s="74">
        <v>0</v>
      </c>
      <c r="K70" s="74">
        <v>1880.7791099999999</v>
      </c>
      <c r="L70" s="73">
        <v>0</v>
      </c>
      <c r="M70" s="74">
        <v>4799.9989999999998</v>
      </c>
      <c r="N70" s="74">
        <v>0</v>
      </c>
      <c r="O70" s="67">
        <v>4799.9989999999998</v>
      </c>
      <c r="P70" s="74">
        <v>6493.3890000000001</v>
      </c>
      <c r="Q70" s="67">
        <v>73.92</v>
      </c>
    </row>
    <row r="71" spans="1:17" ht="24.75" customHeight="1" x14ac:dyDescent="0.25">
      <c r="A71" s="48" t="s">
        <v>28</v>
      </c>
      <c r="B71" s="96">
        <v>135</v>
      </c>
      <c r="C71" s="97">
        <v>428.86666666666702</v>
      </c>
      <c r="D71" s="98">
        <v>285.35243000000003</v>
      </c>
      <c r="E71" s="96">
        <v>0</v>
      </c>
      <c r="F71" s="97">
        <v>0</v>
      </c>
      <c r="G71" s="97">
        <v>0</v>
      </c>
      <c r="H71" s="99">
        <v>0</v>
      </c>
      <c r="I71" s="100">
        <v>2073.4775399999999</v>
      </c>
      <c r="J71" s="101">
        <v>0</v>
      </c>
      <c r="K71" s="101">
        <v>2073.4775399999999</v>
      </c>
      <c r="L71" s="100">
        <v>0</v>
      </c>
      <c r="M71" s="101">
        <v>4593.3828999999996</v>
      </c>
      <c r="N71" s="101">
        <v>0</v>
      </c>
      <c r="O71" s="99">
        <v>4593.3828999999996</v>
      </c>
      <c r="P71" s="101">
        <v>6735.3951088510103</v>
      </c>
      <c r="Q71" s="99">
        <v>68.2</v>
      </c>
    </row>
    <row r="72" spans="1:17" ht="24.75" customHeight="1" x14ac:dyDescent="0.25">
      <c r="A72" s="47" t="s">
        <v>29</v>
      </c>
      <c r="B72" s="77">
        <v>190</v>
      </c>
      <c r="C72" s="78">
        <v>587.68333333333305</v>
      </c>
      <c r="D72" s="79">
        <v>392.05757199999999</v>
      </c>
      <c r="E72" s="77">
        <v>0</v>
      </c>
      <c r="F72" s="78">
        <v>0</v>
      </c>
      <c r="G72" s="78">
        <v>0</v>
      </c>
      <c r="H72" s="80">
        <v>0</v>
      </c>
      <c r="I72" s="81">
        <v>2748.3572100000001</v>
      </c>
      <c r="J72" s="82">
        <v>0</v>
      </c>
      <c r="K72" s="82">
        <v>2748.3572100000001</v>
      </c>
      <c r="L72" s="81">
        <v>0</v>
      </c>
      <c r="M72" s="82">
        <v>5985.3246630000003</v>
      </c>
      <c r="N72" s="82">
        <v>0</v>
      </c>
      <c r="O72" s="80">
        <v>5985.3246630000003</v>
      </c>
      <c r="P72" s="82">
        <v>9037.126311</v>
      </c>
      <c r="Q72" s="80">
        <v>66.23</v>
      </c>
    </row>
    <row r="73" spans="1:17" ht="34.5" customHeight="1" x14ac:dyDescent="0.25">
      <c r="A73" s="86" t="s">
        <v>30</v>
      </c>
      <c r="B73" s="87">
        <f t="shared" ref="B73:G73" si="6">IFERROR(SUM(B61:B72),"")</f>
        <v>1522</v>
      </c>
      <c r="C73" s="87">
        <f t="shared" si="6"/>
        <v>5353.4000000000005</v>
      </c>
      <c r="D73" s="87">
        <f t="shared" si="6"/>
        <v>3563.3568531142091</v>
      </c>
      <c r="E73" s="87">
        <f t="shared" si="6"/>
        <v>1973</v>
      </c>
      <c r="F73" s="87">
        <f t="shared" si="6"/>
        <v>4143</v>
      </c>
      <c r="G73" s="87">
        <f t="shared" si="6"/>
        <v>5997</v>
      </c>
      <c r="H73" s="88">
        <f>IFERROR(F73/G73*100,"")</f>
        <v>69.084542271135561</v>
      </c>
      <c r="I73" s="88">
        <f t="shared" ref="I73:P73" si="7">IFERROR(SUM(I61:I72),"")</f>
        <v>22894.517670000001</v>
      </c>
      <c r="J73" s="88">
        <f t="shared" si="7"/>
        <v>0.3614</v>
      </c>
      <c r="K73" s="88">
        <f t="shared" si="7"/>
        <v>22894.879070000003</v>
      </c>
      <c r="L73" s="88">
        <f t="shared" si="7"/>
        <v>372.85876999999999</v>
      </c>
      <c r="M73" s="88">
        <f t="shared" si="7"/>
        <v>55476.364303940289</v>
      </c>
      <c r="N73" s="88">
        <f t="shared" si="7"/>
        <v>0.1044446</v>
      </c>
      <c r="O73" s="88">
        <f t="shared" si="7"/>
        <v>55849.327518540296</v>
      </c>
      <c r="P73" s="88">
        <f t="shared" si="7"/>
        <v>80616.578855467771</v>
      </c>
      <c r="Q73" s="88">
        <f>IFERROR(O73/P73*100,"")</f>
        <v>69.277719684271062</v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2026-02-06T06:44:24Z</dcterms:modified>
</cp:coreProperties>
</file>