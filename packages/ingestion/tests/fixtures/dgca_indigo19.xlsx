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<sst xmlns="http://schemas.openxmlformats.org/spreadsheetml/2006/main" count="153" uniqueCount="42">
  <si>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</si>
  <si>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INDIGO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</si>
  <si>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</si>
  <si>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</si>
  <si>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</si>
  <si>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</si>
  <si>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</si>
  <si>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</si>
  <si>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</si>
  <si>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</si>
  <si>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</si>
  <si>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</si>
  <si>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</si>
  <si>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</si>
  <si>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</si>
  <si>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</si>
  <si>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</si>
  <si>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</si>
  <si>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</si>
  <si>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</si>
  <si>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</si>
  <si>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</si>
  <si>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</si>
  <si>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</si>
  <si>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</si>
  <si>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</si>
  <si>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</si>
  <si>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</si>
  <si>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</si>
  <si>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</si>
  <si>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</si>
  <si>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</si>
  <si>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</si>
  <si>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</si>
  <si>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</si>
  <si>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INDIGO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</si>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</sst>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7" transitionEvaluation="1" transitionEntry="1" codeName="Sheet12"/>
  <dimension ref="A1:Q494"/>
  <sheetViews>
    <sheetView showGridLines="0" tabSelected="1" view="pageBreakPreview" topLeftCell="A67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37199</v>
      </c>
      <c r="C4" s="12">
        <v>67118.433000000005</v>
      </c>
      <c r="D4" s="13">
        <v>34515.158000000003</v>
      </c>
      <c r="E4" s="14">
        <v>5321832</v>
      </c>
      <c r="F4" s="12">
        <v>5282940</v>
      </c>
      <c r="G4" s="12">
        <v>6111639</v>
      </c>
      <c r="H4" s="15">
        <f>IFERROR(F4/G4*100," ")</f>
        <v>86.440642191071831</v>
      </c>
      <c r="I4" s="16">
        <v>13069.63</v>
      </c>
      <c r="J4" s="17">
        <v>2078.0169999999998</v>
      </c>
      <c r="K4" s="15">
        <f>IF(AND(ISBLANK(I4),ISBLANK(J4))=TRUE,"",I4+J4)</f>
        <v>15147.646999999999</v>
      </c>
      <c r="L4" s="16">
        <v>475465.92</v>
      </c>
      <c r="M4" s="17">
        <v>15411.28</v>
      </c>
      <c r="N4" s="17">
        <v>2076.5700000000002</v>
      </c>
      <c r="O4" s="15">
        <f>IF(AND(ISBLANK(L4),ISBLANK(M4),ISBLANK(N4))=TRUE,"",L4+M4+N4)</f>
        <v>492953.77</v>
      </c>
      <c r="P4" s="17">
        <v>673255.83</v>
      </c>
      <c r="Q4" s="15">
        <f>IFERROR(O4/P4*100," ")</f>
        <v>73.219383781645092</v>
      </c>
    </row>
    <row r="5" spans="1:17" ht="23.1" customHeight="1" x14ac:dyDescent="0.3">
      <c r="A5" s="18" t="s">
        <v>23</v>
      </c>
      <c r="B5" s="19">
        <v>33596</v>
      </c>
      <c r="C5" s="19">
        <v>60391.583299999998</v>
      </c>
      <c r="D5" s="18">
        <v>30957.866999999998</v>
      </c>
      <c r="E5" s="20">
        <v>4930608</v>
      </c>
      <c r="F5" s="19">
        <v>4841086</v>
      </c>
      <c r="G5" s="19">
        <v>5475814</v>
      </c>
      <c r="H5" s="21">
        <f t="shared" ref="H5:H16" si="0">IFERROR(F5/G5*100," ")</f>
        <v>88.408517893412736</v>
      </c>
      <c r="I5" s="22">
        <v>14069.552</v>
      </c>
      <c r="J5" s="23">
        <v>1811.2670000000001</v>
      </c>
      <c r="K5" s="21">
        <f t="shared" ref="K5:K16" si="1">IF(AND(ISBLANK(I5),ISBLANK(J5))=TRUE,"",I5+J5)</f>
        <v>15880.819</v>
      </c>
      <c r="L5" s="22">
        <v>435698.85600000003</v>
      </c>
      <c r="M5" s="23">
        <v>16555.241999999998</v>
      </c>
      <c r="N5" s="23">
        <v>1768.3620000000001</v>
      </c>
      <c r="O5" s="21">
        <f t="shared" ref="O5:O16" si="2">IF(AND(ISBLANK(L5),ISBLANK(M5),ISBLANK(N5))=TRUE,"",L5+M5+N5)</f>
        <v>454022.46</v>
      </c>
      <c r="P5" s="23">
        <v>602746.81799999997</v>
      </c>
      <c r="Q5" s="21">
        <f t="shared" ref="Q5:Q16" si="3">IFERROR(O5/P5*100," ")</f>
        <v>75.32556729316488</v>
      </c>
    </row>
    <row r="6" spans="1:17" ht="23.1" customHeight="1" x14ac:dyDescent="0.3">
      <c r="A6" s="24" t="s">
        <v>24</v>
      </c>
      <c r="B6" s="25">
        <v>38220</v>
      </c>
      <c r="C6" s="25">
        <v>67719.3</v>
      </c>
      <c r="D6" s="24">
        <v>35414.459000000003</v>
      </c>
      <c r="E6" s="26">
        <v>5440796</v>
      </c>
      <c r="F6" s="25">
        <v>5391425</v>
      </c>
      <c r="G6" s="25">
        <v>6272727</v>
      </c>
      <c r="H6" s="27">
        <f t="shared" si="0"/>
        <v>85.950257360156115</v>
      </c>
      <c r="I6" s="28">
        <v>18433.849999999999</v>
      </c>
      <c r="J6" s="29">
        <v>1942.7719999999999</v>
      </c>
      <c r="K6" s="27">
        <f t="shared" si="1"/>
        <v>20376.621999999999</v>
      </c>
      <c r="L6" s="28">
        <v>485226.61</v>
      </c>
      <c r="M6" s="29">
        <v>21302.49</v>
      </c>
      <c r="N6" s="29">
        <v>1858.44</v>
      </c>
      <c r="O6" s="27">
        <f t="shared" si="2"/>
        <v>508387.54</v>
      </c>
      <c r="P6" s="29">
        <v>688414.78</v>
      </c>
      <c r="Q6" s="27">
        <f t="shared" si="3"/>
        <v>73.849015850589367</v>
      </c>
    </row>
    <row r="7" spans="1:17" ht="23.1" customHeight="1" x14ac:dyDescent="0.3">
      <c r="A7" s="18" t="s">
        <v>25</v>
      </c>
      <c r="B7" s="19">
        <v>37911</v>
      </c>
      <c r="C7" s="19">
        <v>66485.2</v>
      </c>
      <c r="D7" s="18">
        <v>34806.678</v>
      </c>
      <c r="E7" s="20">
        <v>5481088</v>
      </c>
      <c r="F7" s="19">
        <v>5399413</v>
      </c>
      <c r="G7" s="19">
        <v>6151697</v>
      </c>
      <c r="H7" s="21">
        <f t="shared" si="0"/>
        <v>87.771114214500486</v>
      </c>
      <c r="I7" s="22">
        <v>18918.89</v>
      </c>
      <c r="J7" s="23">
        <v>1557.51</v>
      </c>
      <c r="K7" s="21">
        <f t="shared" si="1"/>
        <v>20476.399999999998</v>
      </c>
      <c r="L7" s="22">
        <v>485948.45</v>
      </c>
      <c r="M7" s="23">
        <v>21699.27</v>
      </c>
      <c r="N7" s="23">
        <v>1552.13</v>
      </c>
      <c r="O7" s="21">
        <f t="shared" si="2"/>
        <v>509199.85000000003</v>
      </c>
      <c r="P7" s="23">
        <v>675404.5</v>
      </c>
      <c r="Q7" s="21">
        <f t="shared" si="3"/>
        <v>75.391835559283365</v>
      </c>
    </row>
    <row r="8" spans="1:17" s="30" customFormat="1" ht="30" customHeight="1" x14ac:dyDescent="0.25">
      <c r="A8" s="24" t="s">
        <v>26</v>
      </c>
      <c r="B8" s="25">
        <v>39934</v>
      </c>
      <c r="C8" s="25">
        <v>70246</v>
      </c>
      <c r="D8" s="24">
        <v>36494.462</v>
      </c>
      <c r="E8" s="26">
        <v>5979551</v>
      </c>
      <c r="F8" s="25">
        <v>5871438</v>
      </c>
      <c r="G8" s="25">
        <v>6458545</v>
      </c>
      <c r="H8" s="27">
        <f t="shared" si="0"/>
        <v>90.909608897979339</v>
      </c>
      <c r="I8" s="28">
        <v>20557.945000000003</v>
      </c>
      <c r="J8" s="29">
        <v>1610.2680000000007</v>
      </c>
      <c r="K8" s="27">
        <f t="shared" si="1"/>
        <v>22168.213000000003</v>
      </c>
      <c r="L8" s="28">
        <v>528428.00439000118</v>
      </c>
      <c r="M8" s="29">
        <v>24167.358018000014</v>
      </c>
      <c r="N8" s="29">
        <v>1610.1801439999999</v>
      </c>
      <c r="O8" s="27">
        <f t="shared" si="2"/>
        <v>554205.54255200119</v>
      </c>
      <c r="P8" s="29">
        <v>709453.78095200239</v>
      </c>
      <c r="Q8" s="27">
        <f t="shared" si="3"/>
        <v>78.117216009240721</v>
      </c>
    </row>
    <row r="9" spans="1:17" ht="23.1" customHeight="1" x14ac:dyDescent="0.3">
      <c r="A9" s="18" t="s">
        <v>27</v>
      </c>
      <c r="B9" s="19">
        <v>38698</v>
      </c>
      <c r="C9" s="19">
        <v>68381</v>
      </c>
      <c r="D9" s="18">
        <v>35379.322999999997</v>
      </c>
      <c r="E9" s="20">
        <v>5778376</v>
      </c>
      <c r="F9" s="19">
        <v>5658684</v>
      </c>
      <c r="G9" s="19">
        <v>6281020</v>
      </c>
      <c r="H9" s="21">
        <f t="shared" si="0"/>
        <v>90.091800376371992</v>
      </c>
      <c r="I9" s="22">
        <v>19024.562999999998</v>
      </c>
      <c r="J9" s="23">
        <v>1548.5519999999997</v>
      </c>
      <c r="K9" s="21">
        <f t="shared" si="1"/>
        <v>20573.114999999998</v>
      </c>
      <c r="L9" s="22">
        <v>509281.45451999898</v>
      </c>
      <c r="M9" s="23">
        <v>22637.987195000002</v>
      </c>
      <c r="N9" s="23">
        <v>1553.7223019999999</v>
      </c>
      <c r="O9" s="21">
        <f t="shared" si="2"/>
        <v>533473.16401699907</v>
      </c>
      <c r="P9" s="23">
        <v>690011.21522799798</v>
      </c>
      <c r="Q9" s="21">
        <f t="shared" si="3"/>
        <v>77.313694653604344</v>
      </c>
    </row>
    <row r="10" spans="1:17" ht="23.1" customHeight="1" x14ac:dyDescent="0.3">
      <c r="A10" s="24" t="s">
        <v>28</v>
      </c>
      <c r="B10" s="25">
        <v>39883</v>
      </c>
      <c r="C10" s="25">
        <v>70628.55</v>
      </c>
      <c r="D10" s="24">
        <v>35699.038</v>
      </c>
      <c r="E10" s="26">
        <v>5693448</v>
      </c>
      <c r="F10" s="25">
        <v>5430427</v>
      </c>
      <c r="G10" s="25">
        <v>6302625</v>
      </c>
      <c r="H10" s="27">
        <f t="shared" si="0"/>
        <v>86.1613534043355</v>
      </c>
      <c r="I10" s="28">
        <v>20019.987999999994</v>
      </c>
      <c r="J10" s="29">
        <v>1730.2359999999992</v>
      </c>
      <c r="K10" s="27">
        <f t="shared" si="1"/>
        <v>21750.223999999995</v>
      </c>
      <c r="L10" s="28">
        <v>488737.39580999903</v>
      </c>
      <c r="M10" s="29">
        <v>23756.303917000001</v>
      </c>
      <c r="N10" s="29">
        <v>1796.5475300000001</v>
      </c>
      <c r="O10" s="27">
        <f t="shared" si="2"/>
        <v>514290.24725699902</v>
      </c>
      <c r="P10" s="29">
        <v>692651.46445100103</v>
      </c>
      <c r="Q10" s="27">
        <f t="shared" si="3"/>
        <v>74.249499734275162</v>
      </c>
    </row>
    <row r="11" spans="1:17" ht="23.1" customHeight="1" x14ac:dyDescent="0.3">
      <c r="A11" s="18" t="s">
        <v>29</v>
      </c>
      <c r="B11" s="19">
        <v>39636</v>
      </c>
      <c r="C11" s="19">
        <v>70725.233333333337</v>
      </c>
      <c r="D11" s="18">
        <v>35578.923999999999</v>
      </c>
      <c r="E11" s="20">
        <v>5540693</v>
      </c>
      <c r="F11" s="19">
        <v>5278012</v>
      </c>
      <c r="G11" s="19">
        <v>6259585</v>
      </c>
      <c r="H11" s="21">
        <f t="shared" si="0"/>
        <v>84.318880564765877</v>
      </c>
      <c r="I11" s="22">
        <v>20637.445</v>
      </c>
      <c r="J11" s="23">
        <v>1499.9330000000007</v>
      </c>
      <c r="K11" s="21">
        <f t="shared" si="1"/>
        <v>22137.378000000001</v>
      </c>
      <c r="L11" s="22">
        <v>475019.31978000002</v>
      </c>
      <c r="M11" s="23">
        <v>24256.228040000002</v>
      </c>
      <c r="N11" s="23">
        <v>1515.8337260000001</v>
      </c>
      <c r="O11" s="21">
        <f t="shared" si="2"/>
        <v>500791.38154600002</v>
      </c>
      <c r="P11" s="23">
        <v>702156.03858699999</v>
      </c>
      <c r="Q11" s="21">
        <f t="shared" si="3"/>
        <v>71.32195039635053</v>
      </c>
    </row>
    <row r="12" spans="1:17" ht="23.1" customHeight="1" x14ac:dyDescent="0.3">
      <c r="A12" s="24" t="s">
        <v>30</v>
      </c>
      <c r="B12" s="25">
        <v>39058</v>
      </c>
      <c r="C12" s="25">
        <v>68815.41</v>
      </c>
      <c r="D12" s="24">
        <v>34774.165000000001</v>
      </c>
      <c r="E12" s="26">
        <v>5559031</v>
      </c>
      <c r="F12" s="25">
        <v>5287003</v>
      </c>
      <c r="G12" s="25">
        <v>6115257</v>
      </c>
      <c r="H12" s="27">
        <f t="shared" si="0"/>
        <v>86.455941262975529</v>
      </c>
      <c r="I12" s="28">
        <v>21670.797999999999</v>
      </c>
      <c r="J12" s="29">
        <v>1291.8549999999998</v>
      </c>
      <c r="K12" s="27">
        <f t="shared" si="1"/>
        <v>22962.652999999998</v>
      </c>
      <c r="L12" s="28">
        <v>475830.88776000001</v>
      </c>
      <c r="M12" s="29">
        <v>25800.958974000001</v>
      </c>
      <c r="N12" s="29">
        <v>1281.7629300000001</v>
      </c>
      <c r="O12" s="27">
        <f t="shared" si="2"/>
        <v>502913.60966400005</v>
      </c>
      <c r="P12" s="29">
        <v>673215.40119299805</v>
      </c>
      <c r="Q12" s="27">
        <f t="shared" si="3"/>
        <v>74.703224075502732</v>
      </c>
    </row>
    <row r="13" spans="1:17" ht="23.1" customHeight="1" x14ac:dyDescent="0.3">
      <c r="A13" s="18" t="s">
        <v>31</v>
      </c>
      <c r="B13" s="19">
        <v>41763</v>
      </c>
      <c r="C13" s="19">
        <v>74078.5</v>
      </c>
      <c r="D13" s="18">
        <v>37380.275000000001</v>
      </c>
      <c r="E13" s="20">
        <v>5842318</v>
      </c>
      <c r="F13" s="19">
        <v>5611952</v>
      </c>
      <c r="G13" s="19">
        <v>6592745</v>
      </c>
      <c r="H13" s="21">
        <f t="shared" si="0"/>
        <v>85.123146731748307</v>
      </c>
      <c r="I13" s="22">
        <v>22166.379000000001</v>
      </c>
      <c r="J13" s="23">
        <v>1302.9739999999999</v>
      </c>
      <c r="K13" s="21">
        <f t="shared" si="1"/>
        <v>23469.352999999999</v>
      </c>
      <c r="L13" s="22">
        <v>504986.79473999998</v>
      </c>
      <c r="M13" s="23">
        <v>26094.1480029999</v>
      </c>
      <c r="N13" s="23">
        <v>1283.767562</v>
      </c>
      <c r="O13" s="21">
        <f t="shared" si="2"/>
        <v>532364.71030499984</v>
      </c>
      <c r="P13" s="23">
        <v>742722.95526600198</v>
      </c>
      <c r="Q13" s="21">
        <f t="shared" si="3"/>
        <v>71.677427839070418</v>
      </c>
    </row>
    <row r="14" spans="1:17" ht="23.1" customHeight="1" x14ac:dyDescent="0.3">
      <c r="A14" s="24" t="s">
        <v>32</v>
      </c>
      <c r="B14" s="25">
        <v>40949</v>
      </c>
      <c r="C14" s="25">
        <v>73478.429999999993</v>
      </c>
      <c r="D14" s="24">
        <v>36448.489000000001</v>
      </c>
      <c r="E14" s="26">
        <v>6151347</v>
      </c>
      <c r="F14" s="25">
        <v>5863493</v>
      </c>
      <c r="G14" s="25">
        <v>6414008</v>
      </c>
      <c r="H14" s="27">
        <f t="shared" si="0"/>
        <v>91.416989189910581</v>
      </c>
      <c r="I14" s="28">
        <v>19120.103999999999</v>
      </c>
      <c r="J14" s="29">
        <v>1540.6959999999992</v>
      </c>
      <c r="K14" s="27">
        <f t="shared" si="1"/>
        <v>20660.8</v>
      </c>
      <c r="L14" s="28">
        <v>527516.02080000006</v>
      </c>
      <c r="M14" s="29">
        <v>22676.948807000001</v>
      </c>
      <c r="N14" s="29">
        <v>1601.9068709999999</v>
      </c>
      <c r="O14" s="27">
        <f t="shared" si="2"/>
        <v>551794.87647799996</v>
      </c>
      <c r="P14" s="29">
        <v>707308.38158799999</v>
      </c>
      <c r="Q14" s="27">
        <f t="shared" si="3"/>
        <v>78.013337723942726</v>
      </c>
    </row>
    <row r="15" spans="1:17" ht="23.1" customHeight="1" x14ac:dyDescent="0.3">
      <c r="A15" s="31" t="s">
        <v>33</v>
      </c>
      <c r="B15" s="32">
        <v>42086</v>
      </c>
      <c r="C15" s="32">
        <v>75301</v>
      </c>
      <c r="D15" s="33">
        <v>37114.222999999998</v>
      </c>
      <c r="E15" s="34">
        <v>6188457</v>
      </c>
      <c r="F15" s="32">
        <v>5890402</v>
      </c>
      <c r="G15" s="32">
        <v>6537502</v>
      </c>
      <c r="H15" s="35">
        <f t="shared" si="0"/>
        <v>90.101723869453494</v>
      </c>
      <c r="I15" s="36">
        <v>21009.350999999999</v>
      </c>
      <c r="J15" s="37">
        <v>1661.5070000000005</v>
      </c>
      <c r="K15" s="35">
        <f t="shared" si="1"/>
        <v>22670.858</v>
      </c>
      <c r="L15" s="36">
        <v>529046.20016999997</v>
      </c>
      <c r="M15" s="37">
        <v>24515.211982000001</v>
      </c>
      <c r="N15" s="37">
        <v>1729.966381</v>
      </c>
      <c r="O15" s="35">
        <f t="shared" si="2"/>
        <v>555291.37853300001</v>
      </c>
      <c r="P15" s="23">
        <v>719992.832338001</v>
      </c>
      <c r="Q15" s="21">
        <f t="shared" si="3"/>
        <v>77.124570355766835</v>
      </c>
    </row>
    <row r="16" spans="1:17" ht="23.1" customHeight="1" x14ac:dyDescent="0.3">
      <c r="A16" s="38" t="s">
        <v>34</v>
      </c>
      <c r="B16" s="39">
        <f>SUM(B4:B15)</f>
        <v>468933</v>
      </c>
      <c r="C16" s="39">
        <f t="shared" ref="C16:G16" si="4">SUM(C4:C15)</f>
        <v>833368.63963333331</v>
      </c>
      <c r="D16" s="39">
        <f t="shared" si="4"/>
        <v>424563.06099999999</v>
      </c>
      <c r="E16" s="39">
        <f t="shared" si="4"/>
        <v>67907545</v>
      </c>
      <c r="F16" s="39">
        <f t="shared" si="4"/>
        <v>65806275</v>
      </c>
      <c r="G16" s="39">
        <f t="shared" si="4"/>
        <v>74973164</v>
      </c>
      <c r="H16" s="40">
        <f t="shared" si="0"/>
        <v>87.773106387773623</v>
      </c>
      <c r="I16" s="40">
        <f t="shared" ref="I16:J16" si="5">SUM(I4:I15)</f>
        <v>228698.49499999997</v>
      </c>
      <c r="J16" s="40">
        <f t="shared" si="5"/>
        <v>19575.587</v>
      </c>
      <c r="K16" s="40">
        <f t="shared" si="1"/>
        <v>248274.08199999997</v>
      </c>
      <c r="L16" s="40">
        <f t="shared" ref="L16:N16" si="6">SUM(L4:L15)</f>
        <v>5921185.9139699992</v>
      </c>
      <c r="M16" s="40">
        <f t="shared" si="6"/>
        <v>268873.42693599995</v>
      </c>
      <c r="N16" s="40">
        <f t="shared" si="6"/>
        <v>19629.189446</v>
      </c>
      <c r="O16" s="40">
        <f t="shared" si="2"/>
        <v>6209688.5303519992</v>
      </c>
      <c r="P16" s="41">
        <f>SUM(P4:P15)</f>
        <v>8277333.997603002</v>
      </c>
      <c r="Q16" s="41">
        <f t="shared" si="3"/>
        <v>75.020393428007566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3326</v>
      </c>
      <c r="C23" s="58">
        <v>12163.566000000001</v>
      </c>
      <c r="D23" s="59">
        <v>7971.7359999999999</v>
      </c>
      <c r="E23" s="57">
        <v>498170</v>
      </c>
      <c r="F23" s="58">
        <v>1199655</v>
      </c>
      <c r="G23" s="58">
        <v>1437827</v>
      </c>
      <c r="H23" s="60">
        <f t="shared" ref="H23:H35" si="7">IFERROR(F23/G23*100," ")</f>
        <v>83.435281156912481</v>
      </c>
      <c r="I23" s="61">
        <v>2462</v>
      </c>
      <c r="J23" s="61">
        <v>0</v>
      </c>
      <c r="K23" s="61">
        <f>IF(AND(ISBLANK(I23),ISBLANK(J23))=TRUE,"",I23+J23)</f>
        <v>2462</v>
      </c>
      <c r="L23" s="62">
        <v>107969.25</v>
      </c>
      <c r="M23" s="61">
        <v>6300.79</v>
      </c>
      <c r="N23" s="61">
        <v>0</v>
      </c>
      <c r="O23" s="63">
        <f>IF(AND(ISBLANK(L23),ISBLANK(M23),ISBLANK(N23))=TRUE,"",L23+M23+N23)</f>
        <v>114270.04</v>
      </c>
      <c r="P23" s="62">
        <v>161402.34</v>
      </c>
      <c r="Q23" s="63">
        <f>IFERROR(O23/P23*100," ")</f>
        <v>70.798254845623674</v>
      </c>
    </row>
    <row r="24" spans="1:17" ht="23.1" customHeight="1" x14ac:dyDescent="0.3">
      <c r="A24" s="64" t="s">
        <v>23</v>
      </c>
      <c r="B24" s="65">
        <v>2987</v>
      </c>
      <c r="C24" s="64">
        <v>10964.8</v>
      </c>
      <c r="D24" s="66">
        <v>7172.415</v>
      </c>
      <c r="E24" s="65">
        <v>438099</v>
      </c>
      <c r="F24" s="64">
        <v>1048388</v>
      </c>
      <c r="G24" s="64">
        <v>1293773</v>
      </c>
      <c r="H24" s="67">
        <f t="shared" si="7"/>
        <v>81.033380662604642</v>
      </c>
      <c r="I24" s="68">
        <v>2411.152</v>
      </c>
      <c r="J24" s="68">
        <v>0</v>
      </c>
      <c r="K24" s="68">
        <f t="shared" ref="K24:K35" si="8">IF(AND(ISBLANK(I24),ISBLANK(J24))=TRUE,"",I24+J24)</f>
        <v>2411.152</v>
      </c>
      <c r="L24" s="69">
        <v>94354.921000000002</v>
      </c>
      <c r="M24" s="68">
        <v>5977.5770000000002</v>
      </c>
      <c r="N24" s="68">
        <v>0</v>
      </c>
      <c r="O24" s="67">
        <f t="shared" ref="O24:O35" si="9">IF(AND(ISBLANK(L24),ISBLANK(M24),ISBLANK(N24))=TRUE,"",L24+M24+N24)</f>
        <v>100332.49800000001</v>
      </c>
      <c r="P24" s="69">
        <v>145036.23800000001</v>
      </c>
      <c r="Q24" s="67">
        <f t="shared" ref="Q24:Q35" si="10">IFERROR(O24/P24*100," ")</f>
        <v>69.177537547547246</v>
      </c>
    </row>
    <row r="25" spans="1:17" ht="23.1" customHeight="1" x14ac:dyDescent="0.3">
      <c r="A25" s="56" t="s">
        <v>24</v>
      </c>
      <c r="B25" s="70">
        <v>3415</v>
      </c>
      <c r="C25" s="56">
        <v>13067.85</v>
      </c>
      <c r="D25" s="71">
        <v>8279.0290000000005</v>
      </c>
      <c r="E25" s="70">
        <v>508534</v>
      </c>
      <c r="F25" s="56">
        <v>1234050.639</v>
      </c>
      <c r="G25" s="56">
        <v>1507505.4879999999</v>
      </c>
      <c r="H25" s="60">
        <f t="shared" si="7"/>
        <v>81.860440895456293</v>
      </c>
      <c r="I25" s="72">
        <v>2846.1129999999998</v>
      </c>
      <c r="J25" s="72">
        <v>0</v>
      </c>
      <c r="K25" s="72">
        <f t="shared" si="8"/>
        <v>2846.1129999999998</v>
      </c>
      <c r="L25" s="73">
        <v>110655.545</v>
      </c>
      <c r="M25" s="72">
        <v>6935.723</v>
      </c>
      <c r="N25" s="72">
        <v>0</v>
      </c>
      <c r="O25" s="60">
        <f t="shared" si="9"/>
        <v>117591.268</v>
      </c>
      <c r="P25" s="73">
        <v>167442.62400000001</v>
      </c>
      <c r="Q25" s="60">
        <f t="shared" si="10"/>
        <v>70.227798150129317</v>
      </c>
    </row>
    <row r="26" spans="1:17" ht="23.1" customHeight="1" x14ac:dyDescent="0.3">
      <c r="A26" s="64" t="s">
        <v>25</v>
      </c>
      <c r="B26" s="65">
        <v>3295</v>
      </c>
      <c r="C26" s="64">
        <v>12696.03</v>
      </c>
      <c r="D26" s="66">
        <v>8178.4620000000004</v>
      </c>
      <c r="E26" s="65">
        <v>505911</v>
      </c>
      <c r="F26" s="64">
        <v>1261877</v>
      </c>
      <c r="G26" s="64">
        <v>1468664.77</v>
      </c>
      <c r="H26" s="67">
        <f t="shared" si="7"/>
        <v>85.920015634337034</v>
      </c>
      <c r="I26" s="68">
        <v>2570.77</v>
      </c>
      <c r="J26" s="68">
        <v>0</v>
      </c>
      <c r="K26" s="68">
        <f t="shared" si="8"/>
        <v>2570.77</v>
      </c>
      <c r="L26" s="69">
        <v>113224.77</v>
      </c>
      <c r="M26" s="68">
        <v>6410.16</v>
      </c>
      <c r="N26" s="68">
        <v>0</v>
      </c>
      <c r="O26" s="67">
        <f t="shared" si="9"/>
        <v>119634.93000000001</v>
      </c>
      <c r="P26" s="69">
        <v>165281.63</v>
      </c>
      <c r="Q26" s="67">
        <f t="shared" si="10"/>
        <v>72.382472268696773</v>
      </c>
    </row>
    <row r="27" spans="1:17" s="30" customFormat="1" ht="30" customHeight="1" x14ac:dyDescent="0.25">
      <c r="A27" s="56" t="s">
        <v>26</v>
      </c>
      <c r="B27" s="70">
        <v>3146</v>
      </c>
      <c r="C27" s="56">
        <v>12181</v>
      </c>
      <c r="D27" s="71">
        <v>7857.857</v>
      </c>
      <c r="E27" s="70">
        <v>482988</v>
      </c>
      <c r="F27" s="56">
        <v>1222035</v>
      </c>
      <c r="G27" s="56">
        <v>1418773</v>
      </c>
      <c r="H27" s="60">
        <f t="shared" si="7"/>
        <v>86.133229205799651</v>
      </c>
      <c r="I27" s="72">
        <v>2588.4789999999994</v>
      </c>
      <c r="J27" s="72">
        <v>0</v>
      </c>
      <c r="K27" s="72">
        <f t="shared" si="8"/>
        <v>2588.4789999999994</v>
      </c>
      <c r="L27" s="73">
        <v>109983.02427000005</v>
      </c>
      <c r="M27" s="72">
        <v>6485.5518809999967</v>
      </c>
      <c r="N27" s="72">
        <v>0</v>
      </c>
      <c r="O27" s="60">
        <f t="shared" si="9"/>
        <v>116468.57615100004</v>
      </c>
      <c r="P27" s="73">
        <v>159784.99163200011</v>
      </c>
      <c r="Q27" s="60">
        <f t="shared" si="10"/>
        <v>72.890810933756626</v>
      </c>
    </row>
    <row r="28" spans="1:17" ht="23.1" customHeight="1" x14ac:dyDescent="0.3">
      <c r="A28" s="64" t="s">
        <v>27</v>
      </c>
      <c r="B28" s="65">
        <v>3264</v>
      </c>
      <c r="C28" s="64">
        <v>12491.666666666666</v>
      </c>
      <c r="D28" s="66">
        <v>8127.8770000000004</v>
      </c>
      <c r="E28" s="65">
        <v>508202</v>
      </c>
      <c r="F28" s="64">
        <v>1272375</v>
      </c>
      <c r="G28" s="64">
        <v>1481840</v>
      </c>
      <c r="H28" s="67">
        <f t="shared" si="7"/>
        <v>85.86453328294553</v>
      </c>
      <c r="I28" s="68">
        <v>2504.826</v>
      </c>
      <c r="J28" s="68">
        <v>0</v>
      </c>
      <c r="K28" s="68">
        <f t="shared" si="8"/>
        <v>2504.826</v>
      </c>
      <c r="L28" s="69">
        <v>114513.85709999999</v>
      </c>
      <c r="M28" s="68">
        <v>6378.8236909999996</v>
      </c>
      <c r="N28" s="68">
        <v>0</v>
      </c>
      <c r="O28" s="67">
        <f t="shared" si="9"/>
        <v>120892.68079099999</v>
      </c>
      <c r="P28" s="69">
        <v>166970.38043700001</v>
      </c>
      <c r="Q28" s="67">
        <f t="shared" si="10"/>
        <v>72.403668527672963</v>
      </c>
    </row>
    <row r="29" spans="1:17" ht="23.1" customHeight="1" x14ac:dyDescent="0.3">
      <c r="A29" s="56" t="s">
        <v>28</v>
      </c>
      <c r="B29" s="70">
        <v>3680</v>
      </c>
      <c r="C29" s="56">
        <v>13658.35</v>
      </c>
      <c r="D29" s="71">
        <v>8940.518</v>
      </c>
      <c r="E29" s="70">
        <v>545117</v>
      </c>
      <c r="F29" s="56">
        <v>1324527</v>
      </c>
      <c r="G29" s="56">
        <v>1664293</v>
      </c>
      <c r="H29" s="60">
        <f t="shared" si="7"/>
        <v>79.584964907020577</v>
      </c>
      <c r="I29" s="72">
        <v>3204.2949999999996</v>
      </c>
      <c r="J29" s="72">
        <v>0</v>
      </c>
      <c r="K29" s="72">
        <f t="shared" si="8"/>
        <v>3204.2949999999996</v>
      </c>
      <c r="L29" s="73">
        <v>119207.11167</v>
      </c>
      <c r="M29" s="72">
        <v>7992.5531330000003</v>
      </c>
      <c r="N29" s="72">
        <v>0</v>
      </c>
      <c r="O29" s="60">
        <f t="shared" si="9"/>
        <v>127199.66480299999</v>
      </c>
      <c r="P29" s="73">
        <v>187719.061159</v>
      </c>
      <c r="Q29" s="60">
        <f t="shared" si="10"/>
        <v>67.760654681338167</v>
      </c>
    </row>
    <row r="30" spans="1:17" ht="23.1" customHeight="1" x14ac:dyDescent="0.3">
      <c r="A30" s="64" t="s">
        <v>29</v>
      </c>
      <c r="B30" s="65">
        <v>4070</v>
      </c>
      <c r="C30" s="64">
        <v>15003</v>
      </c>
      <c r="D30" s="66">
        <v>9942.2219999999998</v>
      </c>
      <c r="E30" s="65">
        <v>584501</v>
      </c>
      <c r="F30" s="64">
        <v>1419025</v>
      </c>
      <c r="G30" s="64">
        <v>1852296</v>
      </c>
      <c r="H30" s="67">
        <f t="shared" si="7"/>
        <v>76.608976103171415</v>
      </c>
      <c r="I30" s="68">
        <v>3209.9569999999999</v>
      </c>
      <c r="J30" s="68">
        <v>0</v>
      </c>
      <c r="K30" s="68">
        <f t="shared" si="8"/>
        <v>3209.9569999999999</v>
      </c>
      <c r="L30" s="69">
        <v>127711.96695</v>
      </c>
      <c r="M30" s="68">
        <v>8166.5914309999998</v>
      </c>
      <c r="N30" s="68">
        <v>0</v>
      </c>
      <c r="O30" s="67">
        <f t="shared" si="9"/>
        <v>135878.55838100001</v>
      </c>
      <c r="P30" s="69">
        <v>212960.16736299999</v>
      </c>
      <c r="Q30" s="67">
        <f t="shared" si="10"/>
        <v>63.804682379587454</v>
      </c>
    </row>
    <row r="31" spans="1:17" ht="23.1" customHeight="1" x14ac:dyDescent="0.3">
      <c r="A31" s="56" t="s">
        <v>30</v>
      </c>
      <c r="B31" s="70">
        <v>4279</v>
      </c>
      <c r="C31" s="56">
        <v>16199.06</v>
      </c>
      <c r="D31" s="71">
        <v>10717.355</v>
      </c>
      <c r="E31" s="70">
        <v>592799</v>
      </c>
      <c r="F31" s="56">
        <v>1457436</v>
      </c>
      <c r="G31" s="56">
        <v>1981627</v>
      </c>
      <c r="H31" s="60">
        <f t="shared" si="7"/>
        <v>73.547443590544532</v>
      </c>
      <c r="I31" s="72">
        <v>3459.4119999999998</v>
      </c>
      <c r="J31" s="72">
        <v>0</v>
      </c>
      <c r="K31" s="72">
        <f t="shared" si="8"/>
        <v>3459.4119999999998</v>
      </c>
      <c r="L31" s="73">
        <v>131169.30929999999</v>
      </c>
      <c r="M31" s="72">
        <v>8686.0186489999996</v>
      </c>
      <c r="N31" s="72">
        <v>0</v>
      </c>
      <c r="O31" s="60">
        <f t="shared" si="9"/>
        <v>139855.327949</v>
      </c>
      <c r="P31" s="73">
        <v>223944.74026200001</v>
      </c>
      <c r="Q31" s="60">
        <f t="shared" si="10"/>
        <v>62.450820584300772</v>
      </c>
    </row>
    <row r="32" spans="1:17" ht="23.1" customHeight="1" x14ac:dyDescent="0.3">
      <c r="A32" s="64" t="s">
        <v>31</v>
      </c>
      <c r="B32" s="65">
        <v>4526</v>
      </c>
      <c r="C32" s="64">
        <v>17221.59</v>
      </c>
      <c r="D32" s="66">
        <v>11189.4</v>
      </c>
      <c r="E32" s="65">
        <v>646108</v>
      </c>
      <c r="F32" s="64">
        <v>1584908</v>
      </c>
      <c r="G32" s="64">
        <v>2015366</v>
      </c>
      <c r="H32" s="67">
        <f t="shared" si="7"/>
        <v>78.641199662989266</v>
      </c>
      <c r="I32" s="68">
        <v>3000.3159999999998</v>
      </c>
      <c r="J32" s="68">
        <v>0</v>
      </c>
      <c r="K32" s="68">
        <f t="shared" si="8"/>
        <v>3000.3159999999998</v>
      </c>
      <c r="L32" s="69">
        <v>142617.13362000001</v>
      </c>
      <c r="M32" s="68">
        <v>7412.7265610000004</v>
      </c>
      <c r="N32" s="68">
        <v>0</v>
      </c>
      <c r="O32" s="67">
        <f t="shared" si="9"/>
        <v>150029.860181</v>
      </c>
      <c r="P32" s="69">
        <v>233483.349682</v>
      </c>
      <c r="Q32" s="67">
        <f t="shared" si="10"/>
        <v>64.257198804684748</v>
      </c>
    </row>
    <row r="33" spans="1:17" ht="23.1" customHeight="1" x14ac:dyDescent="0.3">
      <c r="A33" s="56" t="s">
        <v>32</v>
      </c>
      <c r="B33" s="70">
        <v>4582</v>
      </c>
      <c r="C33" s="56">
        <v>17585.53</v>
      </c>
      <c r="D33" s="71">
        <v>11368.671</v>
      </c>
      <c r="E33" s="70">
        <v>695212</v>
      </c>
      <c r="F33" s="56">
        <v>1715100</v>
      </c>
      <c r="G33" s="56">
        <v>2043719</v>
      </c>
      <c r="H33" s="60">
        <f t="shared" si="7"/>
        <v>83.920538978205911</v>
      </c>
      <c r="I33" s="72">
        <v>2972.1790000000001</v>
      </c>
      <c r="J33" s="72">
        <v>0</v>
      </c>
      <c r="K33" s="72">
        <f t="shared" si="8"/>
        <v>2972.1790000000001</v>
      </c>
      <c r="L33" s="73">
        <v>154359.20817</v>
      </c>
      <c r="M33" s="72">
        <v>7209.1301810000004</v>
      </c>
      <c r="N33" s="72">
        <v>0</v>
      </c>
      <c r="O33" s="60">
        <f t="shared" si="9"/>
        <v>161568.33835099998</v>
      </c>
      <c r="P33" s="73">
        <v>231609.12627000001</v>
      </c>
      <c r="Q33" s="60">
        <f t="shared" si="10"/>
        <v>69.759055246661788</v>
      </c>
    </row>
    <row r="34" spans="1:17" ht="23.1" customHeight="1" x14ac:dyDescent="0.3">
      <c r="A34" s="64" t="s">
        <v>33</v>
      </c>
      <c r="B34" s="74">
        <v>4887</v>
      </c>
      <c r="C34" s="75">
        <v>18875.766666666666</v>
      </c>
      <c r="D34" s="76">
        <v>12229.790999999999</v>
      </c>
      <c r="E34" s="74">
        <v>773623</v>
      </c>
      <c r="F34" s="75">
        <v>1927634</v>
      </c>
      <c r="G34" s="75">
        <v>2189778</v>
      </c>
      <c r="H34" s="67">
        <f t="shared" si="7"/>
        <v>88.02874081299565</v>
      </c>
      <c r="I34" s="77">
        <v>3083.3649999999998</v>
      </c>
      <c r="J34" s="77">
        <v>0</v>
      </c>
      <c r="K34" s="77">
        <f t="shared" si="8"/>
        <v>3083.3649999999998</v>
      </c>
      <c r="L34" s="78">
        <v>173438.95671</v>
      </c>
      <c r="M34" s="77">
        <v>7445.056122</v>
      </c>
      <c r="N34" s="77">
        <v>0</v>
      </c>
      <c r="O34" s="79">
        <f t="shared" si="9"/>
        <v>180884.01283200001</v>
      </c>
      <c r="P34" s="78">
        <v>250281.39000799999</v>
      </c>
      <c r="Q34" s="79">
        <f t="shared" si="10"/>
        <v>72.272258367359328</v>
      </c>
    </row>
    <row r="35" spans="1:17" ht="23.1" customHeight="1" x14ac:dyDescent="0.3">
      <c r="A35" s="80" t="s">
        <v>34</v>
      </c>
      <c r="B35" s="81">
        <f>SUM(B23:B34)</f>
        <v>45457</v>
      </c>
      <c r="C35" s="81">
        <f t="shared" ref="C35:G35" si="11">SUM(C23:C34)</f>
        <v>172108.20933333333</v>
      </c>
      <c r="D35" s="81">
        <f t="shared" si="11"/>
        <v>111975.33299999998</v>
      </c>
      <c r="E35" s="81">
        <f t="shared" si="11"/>
        <v>6779264</v>
      </c>
      <c r="F35" s="81">
        <f t="shared" si="11"/>
        <v>16667010.639</v>
      </c>
      <c r="G35" s="81">
        <f t="shared" si="11"/>
        <v>20355462.258000001</v>
      </c>
      <c r="H35" s="82">
        <f t="shared" si="7"/>
        <v>81.87979436551295</v>
      </c>
      <c r="I35" s="83">
        <f t="shared" ref="I35:J35" si="12">SUM(I23:I34)</f>
        <v>34312.863999999994</v>
      </c>
      <c r="J35" s="83">
        <f t="shared" si="12"/>
        <v>0</v>
      </c>
      <c r="K35" s="83">
        <f t="shared" si="8"/>
        <v>34312.863999999994</v>
      </c>
      <c r="L35" s="83">
        <f t="shared" ref="L35:N35" si="13">SUM(L23:L34)</f>
        <v>1499205.0537900003</v>
      </c>
      <c r="M35" s="83">
        <f t="shared" si="13"/>
        <v>85400.701648999995</v>
      </c>
      <c r="N35" s="83">
        <f t="shared" si="13"/>
        <v>0</v>
      </c>
      <c r="O35" s="83">
        <f t="shared" si="9"/>
        <v>1584605.7554390002</v>
      </c>
      <c r="P35" s="83">
        <f>SUM(P23:P34)</f>
        <v>2305916.0388130001</v>
      </c>
      <c r="Q35" s="83">
        <f t="shared" si="10"/>
        <v>68.719143662086509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4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4"/>
        <v xml:space="preserve"> </v>
      </c>
      <c r="I43" s="104"/>
      <c r="J43" s="105"/>
      <c r="K43" s="103" t="str">
        <f t="shared" ref="K43:K54" si="15">IF(AND(ISBLANK(I43),ISBLANK(J43))=TRUE,"",I43+J43)</f>
        <v/>
      </c>
      <c r="L43" s="104"/>
      <c r="M43" s="105"/>
      <c r="N43" s="105"/>
      <c r="O43" s="103" t="str">
        <f t="shared" ref="O43:O54" si="16">IF(AND(ISBLANK(L43),ISBLANK(M43),ISBLANK(N43))=TRUE,"",L43+M43+N43)</f>
        <v/>
      </c>
      <c r="P43" s="104"/>
      <c r="Q43" s="103" t="str">
        <f t="shared" ref="Q43:Q54" si="17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4"/>
        <v xml:space="preserve"> </v>
      </c>
      <c r="I44" s="110"/>
      <c r="J44" s="111"/>
      <c r="K44" s="109" t="str">
        <f t="shared" si="15"/>
        <v/>
      </c>
      <c r="L44" s="110"/>
      <c r="M44" s="111"/>
      <c r="N44" s="111"/>
      <c r="O44" s="109" t="str">
        <f t="shared" si="16"/>
        <v/>
      </c>
      <c r="P44" s="110"/>
      <c r="Q44" s="109" t="str">
        <f t="shared" si="17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4"/>
        <v xml:space="preserve"> </v>
      </c>
      <c r="I45" s="104"/>
      <c r="J45" s="105"/>
      <c r="K45" s="103" t="str">
        <f t="shared" si="15"/>
        <v/>
      </c>
      <c r="L45" s="104"/>
      <c r="M45" s="105"/>
      <c r="N45" s="105"/>
      <c r="O45" s="103" t="str">
        <f t="shared" si="16"/>
        <v/>
      </c>
      <c r="P45" s="104"/>
      <c r="Q45" s="103" t="str">
        <f t="shared" si="17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4"/>
        <v xml:space="preserve"> </v>
      </c>
      <c r="I46" s="110"/>
      <c r="J46" s="111"/>
      <c r="K46" s="109" t="str">
        <f t="shared" si="15"/>
        <v/>
      </c>
      <c r="L46" s="110"/>
      <c r="M46" s="111"/>
      <c r="N46" s="111"/>
      <c r="O46" s="109" t="str">
        <f t="shared" si="16"/>
        <v/>
      </c>
      <c r="P46" s="110"/>
      <c r="Q46" s="109" t="str">
        <f t="shared" si="17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4"/>
        <v xml:space="preserve"> </v>
      </c>
      <c r="I47" s="116"/>
      <c r="J47" s="117"/>
      <c r="K47" s="103" t="str">
        <f t="shared" si="15"/>
        <v/>
      </c>
      <c r="L47" s="116"/>
      <c r="M47" s="117"/>
      <c r="N47" s="117"/>
      <c r="O47" s="103" t="str">
        <f t="shared" si="16"/>
        <v/>
      </c>
      <c r="P47" s="116"/>
      <c r="Q47" s="103" t="str">
        <f t="shared" si="17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>
        <v>14</v>
      </c>
      <c r="C51" s="115">
        <v>42.5</v>
      </c>
      <c r="D51" s="126">
        <v>8.9740000000000002</v>
      </c>
      <c r="E51" s="114">
        <v>2018</v>
      </c>
      <c r="F51" s="115">
        <v>1294</v>
      </c>
      <c r="G51" s="115">
        <v>1642</v>
      </c>
      <c r="H51" s="103">
        <f t="shared" si="14"/>
        <v>78.806333739342264</v>
      </c>
      <c r="I51" s="116">
        <v>0.9</v>
      </c>
      <c r="J51" s="117">
        <v>0</v>
      </c>
      <c r="K51" s="103">
        <f t="shared" si="15"/>
        <v>0.9</v>
      </c>
      <c r="L51" s="116">
        <v>116.41842</v>
      </c>
      <c r="M51" s="117">
        <v>0.90188699999999999</v>
      </c>
      <c r="N51" s="117">
        <v>0</v>
      </c>
      <c r="O51" s="103">
        <f t="shared" si="16"/>
        <v>117.320307</v>
      </c>
      <c r="P51" s="116">
        <v>184.12981400000001</v>
      </c>
      <c r="Q51" s="103">
        <f t="shared" si="17"/>
        <v>63.716084023198981</v>
      </c>
    </row>
    <row r="52" spans="1:17" ht="25.5" customHeight="1" x14ac:dyDescent="0.3">
      <c r="A52" s="92" t="s">
        <v>32</v>
      </c>
      <c r="B52" s="127">
        <v>32</v>
      </c>
      <c r="C52" s="128">
        <v>51.08</v>
      </c>
      <c r="D52" s="129">
        <v>20.512</v>
      </c>
      <c r="E52" s="127">
        <v>5103</v>
      </c>
      <c r="F52" s="128">
        <v>3271</v>
      </c>
      <c r="G52" s="128">
        <v>3734</v>
      </c>
      <c r="H52" s="109">
        <f t="shared" si="14"/>
        <v>87.600428494911625</v>
      </c>
      <c r="I52" s="130">
        <v>3.2669999999999999</v>
      </c>
      <c r="J52" s="131">
        <v>0</v>
      </c>
      <c r="K52" s="109">
        <f t="shared" si="15"/>
        <v>3.2669999999999999</v>
      </c>
      <c r="L52" s="130">
        <v>294.39206999999999</v>
      </c>
      <c r="M52" s="131">
        <v>2.969112</v>
      </c>
      <c r="N52" s="131">
        <v>0</v>
      </c>
      <c r="O52" s="109">
        <f t="shared" si="16"/>
        <v>297.36118199999999</v>
      </c>
      <c r="P52" s="130">
        <v>411.96557200000001</v>
      </c>
      <c r="Q52" s="109">
        <f t="shared" si="17"/>
        <v>72.18107584970717</v>
      </c>
    </row>
    <row r="53" spans="1:17" ht="25.5" customHeight="1" x14ac:dyDescent="0.3">
      <c r="A53" s="99" t="s">
        <v>33</v>
      </c>
      <c r="B53" s="132">
        <v>32</v>
      </c>
      <c r="C53" s="133">
        <v>50.02</v>
      </c>
      <c r="D53" s="134">
        <v>20.512</v>
      </c>
      <c r="E53" s="132">
        <v>5466</v>
      </c>
      <c r="F53" s="133">
        <v>3504</v>
      </c>
      <c r="G53" s="133">
        <v>3746</v>
      </c>
      <c r="H53" s="135">
        <f t="shared" si="14"/>
        <v>93.539775760811523</v>
      </c>
      <c r="I53" s="136">
        <v>4.548</v>
      </c>
      <c r="J53" s="137">
        <v>0</v>
      </c>
      <c r="K53" s="135">
        <f t="shared" si="15"/>
        <v>4.548</v>
      </c>
      <c r="L53" s="136">
        <v>315.33354000000003</v>
      </c>
      <c r="M53" s="137">
        <v>4.4357199999999999</v>
      </c>
      <c r="N53" s="137">
        <v>0</v>
      </c>
      <c r="O53" s="135">
        <f t="shared" si="16"/>
        <v>319.76926000000003</v>
      </c>
      <c r="P53" s="136">
        <v>415.33595000000003</v>
      </c>
      <c r="Q53" s="135">
        <f t="shared" si="17"/>
        <v>76.990508526892512</v>
      </c>
    </row>
    <row r="54" spans="1:17" ht="25.5" customHeight="1" x14ac:dyDescent="0.3">
      <c r="A54" s="138" t="s">
        <v>34</v>
      </c>
      <c r="B54" s="139">
        <f>SUM(B42:B53)</f>
        <v>78</v>
      </c>
      <c r="C54" s="139">
        <f t="shared" ref="C54:G54" si="18">SUM(C42:C53)</f>
        <v>143.6</v>
      </c>
      <c r="D54" s="139">
        <f t="shared" si="18"/>
        <v>49.998000000000005</v>
      </c>
      <c r="E54" s="139">
        <f t="shared" si="18"/>
        <v>12587</v>
      </c>
      <c r="F54" s="139">
        <f t="shared" si="18"/>
        <v>8069</v>
      </c>
      <c r="G54" s="139">
        <f t="shared" si="18"/>
        <v>9122</v>
      </c>
      <c r="H54" s="140">
        <f t="shared" si="14"/>
        <v>88.456478842359132</v>
      </c>
      <c r="I54" s="140">
        <f t="shared" ref="I54:J54" si="19">SUM(I42:I53)</f>
        <v>8.7149999999999999</v>
      </c>
      <c r="J54" s="140">
        <f t="shared" si="19"/>
        <v>0</v>
      </c>
      <c r="K54" s="140">
        <f t="shared" si="15"/>
        <v>8.7149999999999999</v>
      </c>
      <c r="L54" s="140">
        <f t="shared" ref="L54:N54" si="20">SUM(L42:L53)</f>
        <v>726.14402999999993</v>
      </c>
      <c r="M54" s="140">
        <f t="shared" si="20"/>
        <v>8.3067189999999993</v>
      </c>
      <c r="N54" s="140">
        <f t="shared" si="20"/>
        <v>0</v>
      </c>
      <c r="O54" s="140">
        <f t="shared" si="16"/>
        <v>734.45074899999997</v>
      </c>
      <c r="P54" s="141">
        <f>SUM(P42:P53)</f>
        <v>1011.431336</v>
      </c>
      <c r="Q54" s="140">
        <f t="shared" si="17"/>
        <v>72.614988567053857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2020-02-03T07:18:48Z</cp:lastPrinted>
  <dcterms:created xsi:type="dcterms:W3CDTF">2020-02-03T07:18:34Z</dcterms:created>
  <dcterms:modified xsi:type="dcterms:W3CDTF">2020-02-03T07:18:50Z</dcterms:modified>
</cp:coreProperties>
</file>